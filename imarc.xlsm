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U\Desktop\projects\"/>
    </mc:Choice>
  </mc:AlternateContent>
  <xr:revisionPtr revIDLastSave="0" documentId="13_ncr:1_{04850D2E-9032-49EC-BA6D-D1A162580276}" xr6:coauthVersionLast="47" xr6:coauthVersionMax="47" xr10:uidLastSave="{00000000-0000-0000-0000-000000000000}"/>
  <bookViews>
    <workbookView xWindow="-98" yWindow="-98" windowWidth="19396" windowHeight="11475" xr2:uid="{D611E3CD-DF82-42AA-9C44-E067B58751F6}"/>
  </bookViews>
  <sheets>
    <sheet name="iMarc 2024 Profit and Los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7" i="1" l="1"/>
  <c r="N97" i="1"/>
  <c r="M97" i="1"/>
  <c r="L97" i="1"/>
  <c r="K97" i="1"/>
  <c r="J97" i="1"/>
  <c r="I97" i="1"/>
  <c r="H97" i="1"/>
  <c r="G97" i="1"/>
  <c r="F97" i="1"/>
  <c r="E97" i="1"/>
  <c r="D97" i="1"/>
  <c r="Q96" i="1"/>
  <c r="Q95" i="1"/>
  <c r="Q94" i="1"/>
  <c r="Q93" i="1"/>
  <c r="Q97" i="1" s="1"/>
  <c r="O90" i="1"/>
  <c r="N90" i="1"/>
  <c r="M90" i="1"/>
  <c r="L90" i="1"/>
  <c r="K90" i="1"/>
  <c r="J90" i="1"/>
  <c r="I90" i="1"/>
  <c r="H90" i="1"/>
  <c r="G90" i="1"/>
  <c r="F90" i="1"/>
  <c r="E90" i="1"/>
  <c r="D90" i="1"/>
  <c r="Q89" i="1"/>
  <c r="Q88" i="1"/>
  <c r="Q87" i="1"/>
  <c r="Q86" i="1"/>
  <c r="Q85" i="1"/>
  <c r="Q90" i="1" s="1"/>
  <c r="O82" i="1"/>
  <c r="N82" i="1"/>
  <c r="M82" i="1"/>
  <c r="L82" i="1"/>
  <c r="K82" i="1"/>
  <c r="J82" i="1"/>
  <c r="H82" i="1"/>
  <c r="G82" i="1"/>
  <c r="F82" i="1"/>
  <c r="E82" i="1"/>
  <c r="D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82" i="1" s="1"/>
  <c r="O61" i="1"/>
  <c r="N61" i="1"/>
  <c r="M61" i="1"/>
  <c r="L61" i="1"/>
  <c r="K61" i="1"/>
  <c r="J61" i="1"/>
  <c r="I61" i="1"/>
  <c r="H61" i="1"/>
  <c r="G61" i="1"/>
  <c r="F61" i="1"/>
  <c r="E61" i="1"/>
  <c r="D61" i="1"/>
  <c r="Q60" i="1"/>
  <c r="Q59" i="1"/>
  <c r="Q58" i="1"/>
  <c r="Q57" i="1"/>
  <c r="Q56" i="1"/>
  <c r="Q55" i="1"/>
  <c r="Q61" i="1" s="1"/>
  <c r="O52" i="1"/>
  <c r="N52" i="1"/>
  <c r="M52" i="1"/>
  <c r="L52" i="1"/>
  <c r="K52" i="1"/>
  <c r="J52" i="1"/>
  <c r="I52" i="1"/>
  <c r="H52" i="1"/>
  <c r="G52" i="1"/>
  <c r="F52" i="1"/>
  <c r="E52" i="1"/>
  <c r="D52" i="1"/>
  <c r="Q51" i="1"/>
  <c r="Q50" i="1"/>
  <c r="Q49" i="1"/>
  <c r="Q48" i="1"/>
  <c r="Q52" i="1" s="1"/>
  <c r="Q47" i="1"/>
  <c r="O44" i="1"/>
  <c r="O99" i="1" s="1"/>
  <c r="N44" i="1"/>
  <c r="N99" i="1" s="1"/>
  <c r="M44" i="1"/>
  <c r="M99" i="1" s="1"/>
  <c r="L44" i="1"/>
  <c r="L99" i="1" s="1"/>
  <c r="K44" i="1"/>
  <c r="K99" i="1" s="1"/>
  <c r="J44" i="1"/>
  <c r="J99" i="1" s="1"/>
  <c r="I44" i="1"/>
  <c r="I99" i="1" s="1"/>
  <c r="H44" i="1"/>
  <c r="H99" i="1" s="1"/>
  <c r="H10" i="1" s="1"/>
  <c r="G44" i="1"/>
  <c r="G99" i="1" s="1"/>
  <c r="G10" i="1" s="1"/>
  <c r="F44" i="1"/>
  <c r="F99" i="1" s="1"/>
  <c r="F10" i="1" s="1"/>
  <c r="E44" i="1"/>
  <c r="E99" i="1" s="1"/>
  <c r="E10" i="1" s="1"/>
  <c r="D44" i="1"/>
  <c r="D99" i="1" s="1"/>
  <c r="D10" i="1" s="1"/>
  <c r="Q43" i="1"/>
  <c r="Q42" i="1"/>
  <c r="Q41" i="1"/>
  <c r="Q40" i="1"/>
  <c r="Q39" i="1"/>
  <c r="Q38" i="1"/>
  <c r="Q37" i="1"/>
  <c r="Q36" i="1"/>
  <c r="Q35" i="1"/>
  <c r="Q44" i="1" s="1"/>
  <c r="L31" i="1"/>
  <c r="H31" i="1"/>
  <c r="D31" i="1"/>
  <c r="O29" i="1"/>
  <c r="N29" i="1"/>
  <c r="M29" i="1"/>
  <c r="L29" i="1"/>
  <c r="K29" i="1"/>
  <c r="J29" i="1"/>
  <c r="I29" i="1"/>
  <c r="H29" i="1"/>
  <c r="G29" i="1"/>
  <c r="F29" i="1"/>
  <c r="E29" i="1"/>
  <c r="D29" i="1"/>
  <c r="Q28" i="1"/>
  <c r="Q27" i="1"/>
  <c r="Q26" i="1"/>
  <c r="Q29" i="1" s="1"/>
  <c r="O23" i="1"/>
  <c r="O31" i="1" s="1"/>
  <c r="N23" i="1"/>
  <c r="N31" i="1" s="1"/>
  <c r="M23" i="1"/>
  <c r="M31" i="1" s="1"/>
  <c r="L23" i="1"/>
  <c r="K23" i="1"/>
  <c r="K31" i="1" s="1"/>
  <c r="J23" i="1"/>
  <c r="J31" i="1" s="1"/>
  <c r="I23" i="1"/>
  <c r="I31" i="1" s="1"/>
  <c r="I9" i="1" s="1"/>
  <c r="I11" i="1" s="1"/>
  <c r="H23" i="1"/>
  <c r="G23" i="1"/>
  <c r="G31" i="1" s="1"/>
  <c r="G9" i="1" s="1"/>
  <c r="G11" i="1" s="1"/>
  <c r="F23" i="1"/>
  <c r="F31" i="1" s="1"/>
  <c r="F9" i="1" s="1"/>
  <c r="E23" i="1"/>
  <c r="E31" i="1" s="1"/>
  <c r="E9" i="1" s="1"/>
  <c r="D23" i="1"/>
  <c r="Q22" i="1"/>
  <c r="Q21" i="1"/>
  <c r="Q20" i="1"/>
  <c r="Q19" i="1"/>
  <c r="Q18" i="1"/>
  <c r="Q17" i="1"/>
  <c r="Q16" i="1"/>
  <c r="Q15" i="1"/>
  <c r="Q23" i="1" s="1"/>
  <c r="Q31" i="1" s="1"/>
  <c r="N11" i="1"/>
  <c r="J11" i="1"/>
  <c r="O10" i="1"/>
  <c r="N10" i="1"/>
  <c r="M10" i="1"/>
  <c r="L10" i="1"/>
  <c r="K10" i="1"/>
  <c r="J10" i="1"/>
  <c r="I10" i="1"/>
  <c r="O9" i="1"/>
  <c r="O11" i="1" s="1"/>
  <c r="N9" i="1"/>
  <c r="M9" i="1"/>
  <c r="M11" i="1" s="1"/>
  <c r="L9" i="1"/>
  <c r="L11" i="1" s="1"/>
  <c r="K9" i="1"/>
  <c r="K11" i="1" s="1"/>
  <c r="J9" i="1"/>
  <c r="H9" i="1"/>
  <c r="H11" i="1" s="1"/>
  <c r="D9" i="1"/>
  <c r="E11" i="1" l="1"/>
  <c r="F11" i="1"/>
  <c r="Q99" i="1"/>
  <c r="Q9" i="1"/>
  <c r="Q11" i="1" s="1"/>
  <c r="Q10" i="1"/>
  <c r="D11" i="1"/>
</calcChain>
</file>

<file path=xl/sharedStrings.xml><?xml version="1.0" encoding="utf-8"?>
<sst xmlns="http://schemas.openxmlformats.org/spreadsheetml/2006/main" count="211" uniqueCount="90">
  <si>
    <t>MONTHLY PROFIT AND LOSS</t>
  </si>
  <si>
    <t>COMPANY NAME</t>
  </si>
  <si>
    <t>Procomm Systems LLC</t>
  </si>
  <si>
    <t>TIME PERIOD REPRESENTED</t>
  </si>
  <si>
    <t>Q1</t>
  </si>
  <si>
    <t>TREND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</si>
  <si>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</si>
  <si>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</si>
  <si>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</si>
  <si>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</si>
  <si>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</si>
  <si>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</si>
  <si>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</si>
  <si>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</si>
  <si>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</si>
  <si>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</si>
  <si>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</si>
  <si>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</si>
  <si>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YTD</t>
  </si>
  <si>
    <t>GROSS PROFIT</t>
  </si>
  <si>
    <t>TOTAL EXPENSES</t>
  </si>
  <si>
    <t>PROFIT / LOSS</t>
  </si>
  <si>
    <t>Enter the amounts for each month below. YTD amounts, YTD tab, graph, and trend lines will populate automatically.</t>
  </si>
  <si>
    <t>REVENUE</t>
  </si>
  <si>
    <t>Income from Sales</t>
  </si>
  <si>
    <t>Adjustments to Earnings</t>
  </si>
  <si>
    <t>Sales of Assets</t>
  </si>
  <si>
    <t>Gains from Legal Actions</t>
  </si>
  <si>
    <t>Interest Received</t>
  </si>
  <si>
    <t>Other Income 1</t>
  </si>
  <si>
    <t>Other Income 2</t>
  </si>
  <si>
    <t>Other Income 3</t>
  </si>
  <si>
    <t>TOTAL REVENUE</t>
  </si>
  <si>
    <t>REDUCTIONS</t>
  </si>
  <si>
    <t>Less Sales Returns</t>
  </si>
  <si>
    <t>Less Sales Discounts</t>
  </si>
  <si>
    <t>Less Cost of Goods Sold</t>
  </si>
  <si>
    <t>TOTAL REDUCTIONS</t>
  </si>
  <si>
    <t>GROSS PROFIT | MINUS REDUCTIONS</t>
  </si>
  <si>
    <t>EXPENSES</t>
  </si>
  <si>
    <t>EMPLOYEE AND LABOR</t>
  </si>
  <si>
    <t>Salaries</t>
  </si>
  <si>
    <t>Wages</t>
  </si>
  <si>
    <t>Benefits</t>
  </si>
  <si>
    <t>Pension/Retirement</t>
  </si>
  <si>
    <t>Commissions</t>
  </si>
  <si>
    <t>Workers Comp</t>
  </si>
  <si>
    <t>Contract Labor</t>
  </si>
  <si>
    <t>Training</t>
  </si>
  <si>
    <t>Other</t>
  </si>
  <si>
    <t>TOTAL EMPLOYEE AND LABOR EXPENSE</t>
  </si>
  <si>
    <t>PROFESSIONAL SERVICES</t>
  </si>
  <si>
    <t>Outside Services</t>
  </si>
  <si>
    <t>Accounting</t>
  </si>
  <si>
    <t>Legal</t>
  </si>
  <si>
    <t>BANKING AND FINANCE</t>
  </si>
  <si>
    <t>Bank Fees</t>
  </si>
  <si>
    <t>Bad Debts</t>
  </si>
  <si>
    <t>Interest Paid</t>
  </si>
  <si>
    <t>Insurance</t>
  </si>
  <si>
    <t>Loan Fees</t>
  </si>
  <si>
    <t>TOTAL BANKING AND FINANCE</t>
  </si>
  <si>
    <t>GENERAL BUSINESS</t>
  </si>
  <si>
    <t xml:space="preserve">Rent and Mortgage </t>
  </si>
  <si>
    <t>Maintenance and Repairs</t>
  </si>
  <si>
    <t>Office Supplies</t>
  </si>
  <si>
    <t>Utilities</t>
  </si>
  <si>
    <t>Telecommunication</t>
  </si>
  <si>
    <t>Advertising, Marketing, and Promotions</t>
  </si>
  <si>
    <t>Web Hosting</t>
  </si>
  <si>
    <t>Professional Dues</t>
  </si>
  <si>
    <t>Subscriptions</t>
  </si>
  <si>
    <t>Freight</t>
  </si>
  <si>
    <t>Postage and Shipping</t>
  </si>
  <si>
    <t>Depreciation and Amortization</t>
  </si>
  <si>
    <t>Travel</t>
  </si>
  <si>
    <t>Technical Licenses</t>
  </si>
  <si>
    <t>Meals and Entertainment</t>
  </si>
  <si>
    <t>Patent Fees</t>
  </si>
  <si>
    <t>Losses from Legal Actions</t>
  </si>
  <si>
    <t>TOTAL GENERAL BUSINESS</t>
  </si>
  <si>
    <t>VEHICLE EXPENSE</t>
  </si>
  <si>
    <t>Gas</t>
  </si>
  <si>
    <t>Licensing</t>
  </si>
  <si>
    <t>TOTAL VEHICLE EXPENSE</t>
  </si>
  <si>
    <t>TAXES</t>
  </si>
  <si>
    <t>Sales Tax</t>
  </si>
  <si>
    <t>Property Tax</t>
  </si>
  <si>
    <t>B&amp;O Tax</t>
  </si>
  <si>
    <t>TOTAL TAXES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</si>
</sst>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_(&quot;$&quot;* #,##0_);_(&quot;$&quot;* \(#,##0\);_(&quot;$&quot;* &quot;-&quot;??_);_(@_)"/>
  </numFmts>
  <fonts count="14" x14ac:knownFonts="1">
    <font>
      <sz val="11"/>
      <color theme="1"/>
      <name val="Aptos Narrow"/>
      <family val="2"/>
      <scheme val="minor"/>
    </font>
    <font>
      <b/>
      <sz val="22"/>
      <color theme="1" tint="0.34998626667073579"/>
      <name val="Century Gothic"/>
      <family val="1"/>
    </font>
    <font>
      <b/>
      <sz val="20"/>
      <color theme="0" tint="-0.499984740745262"/>
      <name val="Century Gothic"/>
      <family val="1"/>
    </font>
    <font>
      <sz val="12"/>
      <color rgb="FF000000"/>
      <name val="Arial"/>
      <family val="2"/>
    </font>
    <font>
      <b/>
      <sz val="10"/>
      <color theme="0"/>
      <name val="Century Gothic"/>
      <family val="1"/>
    </font>
    <font>
      <i/>
      <sz val="10"/>
      <color rgb="FF000000"/>
      <name val="Century Gothic"/>
      <family val="1"/>
    </font>
    <font>
      <sz val="12"/>
      <color rgb="FF000000"/>
      <name val="Calibri"/>
      <family val="2"/>
    </font>
    <font>
      <b/>
      <sz val="12"/>
      <color rgb="FF000000"/>
      <name val="Arial"/>
      <family val="2"/>
    </font>
    <font>
      <sz val="14"/>
      <color theme="1"/>
      <name val="Century Gothic"/>
      <family val="1"/>
    </font>
    <font>
      <b/>
      <sz val="10"/>
      <color rgb="FF000000"/>
      <name val="Century Gothic"/>
      <family val="1"/>
    </font>
    <font>
      <sz val="10"/>
      <color rgb="FF000000"/>
      <name val="Century Gothic"/>
      <family val="1"/>
    </font>
    <font>
      <sz val="11"/>
      <color rgb="FF000000"/>
      <name val="Century Gothic"/>
      <family val="1"/>
    </font>
    <font>
      <b/>
      <sz val="12"/>
      <color rgb="FF000000"/>
      <name val="Calibri"/>
      <family val="2"/>
    </font>
    <font>
      <sz val="12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3" tint="-0.249977111117893"/>
        <bgColor rgb="FFFFFFFF"/>
      </patternFill>
    </fill>
    <fill>
      <patternFill patternType="solid">
        <fgColor rgb="FFEAEEF3"/>
        <bgColor rgb="FFFFFFFF"/>
      </patternFill>
    </fill>
    <fill>
      <patternFill patternType="solid">
        <fgColor theme="3" tint="-0.499984740745262"/>
        <bgColor rgb="FFFFFFFF"/>
      </patternFill>
    </fill>
    <fill>
      <patternFill patternType="solid">
        <fgColor theme="3" tint="0.79998168889431442"/>
        <bgColor rgb="FFFFFFFF"/>
      </patternFill>
    </fill>
    <fill>
      <patternFill patternType="solid">
        <fgColor theme="1" tint="0.14999847407452621"/>
        <bgColor rgb="FFFFFFFF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 tint="-4.9989318521683403E-2"/>
        <bgColor rgb="FFFFFFFF"/>
      </patternFill>
    </fill>
  </fills>
  <borders count="1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double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3" borderId="0" xfId="0" applyFont="1" applyFill="1"/>
    <xf numFmtId="0" fontId="5" fillId="0" borderId="0" xfId="0" applyFont="1" applyAlignment="1">
      <alignment horizontal="left" vertical="center" indent="1"/>
    </xf>
    <xf numFmtId="0" fontId="6" fillId="3" borderId="0" xfId="0" applyFont="1" applyFill="1"/>
    <xf numFmtId="0" fontId="7" fillId="3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horizontal="left" vertical="center" wrapText="1" indent="1"/>
    </xf>
    <xf numFmtId="0" fontId="6" fillId="3" borderId="0" xfId="0" applyFont="1" applyFill="1" applyAlignment="1">
      <alignment wrapText="1"/>
    </xf>
    <xf numFmtId="0" fontId="6" fillId="3" borderId="0" xfId="0" applyFont="1" applyFill="1" applyAlignment="1">
      <alignment horizontal="left" wrapText="1"/>
    </xf>
    <xf numFmtId="0" fontId="10" fillId="0" borderId="0" xfId="0" applyFont="1" applyAlignment="1">
      <alignment wrapText="1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right" vertical="center" indent="2"/>
    </xf>
    <xf numFmtId="164" fontId="10" fillId="7" borderId="1" xfId="0" applyNumberFormat="1" applyFont="1" applyFill="1" applyBorder="1" applyAlignment="1">
      <alignment horizontal="left" vertical="center" indent="1"/>
    </xf>
    <xf numFmtId="165" fontId="9" fillId="7" borderId="1" xfId="0" applyNumberFormat="1" applyFont="1" applyFill="1" applyBorder="1" applyAlignment="1">
      <alignment horizontal="left" vertical="center"/>
    </xf>
    <xf numFmtId="164" fontId="10" fillId="3" borderId="0" xfId="0" applyNumberFormat="1" applyFont="1" applyFill="1" applyAlignment="1">
      <alignment horizontal="left" vertical="center" indent="1"/>
    </xf>
    <xf numFmtId="0" fontId="4" fillId="6" borderId="3" xfId="0" applyFont="1" applyFill="1" applyBorder="1" applyAlignment="1">
      <alignment horizontal="right" vertical="center" indent="2"/>
    </xf>
    <xf numFmtId="164" fontId="10" fillId="7" borderId="0" xfId="0" applyNumberFormat="1" applyFont="1" applyFill="1" applyAlignment="1">
      <alignment horizontal="left" vertical="center" indent="1"/>
    </xf>
    <xf numFmtId="165" fontId="9" fillId="7" borderId="3" xfId="0" applyNumberFormat="1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right" vertical="center" indent="2"/>
    </xf>
    <xf numFmtId="164" fontId="10" fillId="9" borderId="4" xfId="0" applyNumberFormat="1" applyFont="1" applyFill="1" applyBorder="1" applyAlignment="1">
      <alignment horizontal="left" vertical="center" indent="1"/>
    </xf>
    <xf numFmtId="165" fontId="9" fillId="9" borderId="4" xfId="0" applyNumberFormat="1" applyFont="1" applyFill="1" applyBorder="1" applyAlignment="1">
      <alignment horizontal="left" vertical="center"/>
    </xf>
    <xf numFmtId="0" fontId="6" fillId="3" borderId="0" xfId="0" applyFont="1" applyFill="1" applyAlignment="1">
      <alignment vertical="top"/>
    </xf>
    <xf numFmtId="0" fontId="11" fillId="0" borderId="0" xfId="0" applyFont="1" applyAlignment="1">
      <alignment vertical="top"/>
    </xf>
    <xf numFmtId="0" fontId="6" fillId="3" borderId="0" xfId="0" applyFont="1" applyFill="1" applyAlignment="1">
      <alignment horizontal="left" vertical="top" wrapText="1"/>
    </xf>
    <xf numFmtId="0" fontId="0" fillId="0" borderId="0" xfId="0" applyAlignment="1">
      <alignment vertical="top"/>
    </xf>
    <xf numFmtId="0" fontId="4" fillId="6" borderId="5" xfId="0" applyFont="1" applyFill="1" applyBorder="1" applyAlignment="1">
      <alignment horizontal="left" vertical="center" indent="1"/>
    </xf>
    <xf numFmtId="0" fontId="4" fillId="4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 indent="1"/>
    </xf>
    <xf numFmtId="164" fontId="10" fillId="0" borderId="1" xfId="0" applyNumberFormat="1" applyFont="1" applyBorder="1" applyAlignment="1">
      <alignment horizontal="left" vertical="center" indent="1"/>
    </xf>
    <xf numFmtId="165" fontId="10" fillId="3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right" vertical="center" indent="2"/>
    </xf>
    <xf numFmtId="0" fontId="12" fillId="3" borderId="0" xfId="0" applyFont="1" applyFill="1"/>
    <xf numFmtId="0" fontId="10" fillId="10" borderId="1" xfId="0" applyFont="1" applyFill="1" applyBorder="1" applyAlignment="1">
      <alignment horizontal="left" vertical="center" indent="1"/>
    </xf>
    <xf numFmtId="165" fontId="10" fillId="10" borderId="1" xfId="0" applyNumberFormat="1" applyFont="1" applyFill="1" applyBorder="1" applyAlignment="1">
      <alignment horizontal="left" vertical="center"/>
    </xf>
    <xf numFmtId="10" fontId="10" fillId="3" borderId="0" xfId="0" applyNumberFormat="1" applyFont="1" applyFill="1" applyAlignment="1">
      <alignment horizontal="left" vertical="center" indent="1"/>
    </xf>
    <xf numFmtId="0" fontId="6" fillId="3" borderId="0" xfId="0" applyFont="1" applyFill="1" applyAlignment="1">
      <alignment horizontal="center"/>
    </xf>
    <xf numFmtId="0" fontId="4" fillId="6" borderId="1" xfId="0" applyFont="1" applyFill="1" applyBorder="1" applyAlignment="1">
      <alignment horizontal="right" vertical="center"/>
    </xf>
    <xf numFmtId="0" fontId="4" fillId="6" borderId="6" xfId="0" applyFont="1" applyFill="1" applyBorder="1" applyAlignment="1">
      <alignment vertical="center"/>
    </xf>
    <xf numFmtId="0" fontId="4" fillId="6" borderId="7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left" vertical="center" indent="1"/>
    </xf>
    <xf numFmtId="0" fontId="4" fillId="4" borderId="9" xfId="0" applyFont="1" applyFill="1" applyBorder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13" fillId="0" borderId="0" xfId="0" applyFont="1"/>
    <xf numFmtId="0" fontId="10" fillId="3" borderId="0" xfId="0" applyFont="1" applyFill="1" applyAlignment="1">
      <alignment horizontal="left" vertical="center" indent="1"/>
    </xf>
    <xf numFmtId="0" fontId="4" fillId="4" borderId="5" xfId="0" applyFont="1" applyFill="1" applyBorder="1" applyAlignment="1">
      <alignment horizontal="left" vertical="center" indent="1"/>
    </xf>
    <xf numFmtId="0" fontId="7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wrapText="1" indent="1"/>
    </xf>
    <xf numFmtId="0" fontId="8" fillId="5" borderId="2" xfId="0" applyFont="1" applyFill="1" applyBorder="1" applyAlignment="1">
      <alignment horizontal="left" vertical="center" wrapText="1" indent="1"/>
    </xf>
  </cellXfs>
  <cellStyles count="1">
    <cellStyle name="Normal" xfId="0" builtinId="0"/>
  </cellStyles>
  <dxfs count="8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63570328616671E-3"/>
          <c:y val="0.16626323199666268"/>
          <c:w val="0.99055100766589199"/>
          <c:h val="0.61152630755592641"/>
        </c:manualLayout>
      </c:layout>
      <c:lineChart>
        <c:grouping val="standard"/>
        <c:varyColors val="0"/>
        <c:ser>
          <c:idx val="0"/>
          <c:order val="0"/>
          <c:tx>
            <c:v>GROSS PROFIT</c:v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11"/>
            <c:spPr>
              <a:solidFill>
                <a:srgbClr val="00B0F0"/>
              </a:solidFill>
              <a:ln w="12700">
                <a:solidFill>
                  <a:srgbClr val="00B0F0"/>
                </a:solidFill>
              </a:ln>
              <a:effectLst/>
            </c:spPr>
          </c:marker>
          <c:cat>
            <c:strLit>
              <c:ptCount val="12"/>
              <c:pt idx="0">
                <c:v>JANUARY</c:v>
              </c:pt>
              <c:pt idx="1">
                <c:v>FEBRUARY</c:v>
              </c:pt>
              <c:pt idx="2">
                <c:v>MARCH</c:v>
              </c:pt>
              <c:pt idx="3">
                <c:v>APRIL</c:v>
              </c:pt>
              <c:pt idx="4">
                <c:v>MAY</c:v>
              </c:pt>
              <c:pt idx="5">
                <c:v>JUNE</c:v>
              </c:pt>
              <c:pt idx="6">
                <c:v>JULY</c:v>
              </c:pt>
              <c:pt idx="7">
                <c:v>AUGUST</c:v>
              </c:pt>
              <c:pt idx="8">
                <c:v>SEPTEMBER</c:v>
              </c:pt>
              <c:pt idx="9">
                <c:v>OCTOBER</c:v>
              </c:pt>
              <c:pt idx="10">
                <c:v>NOVEMBER</c:v>
              </c:pt>
              <c:pt idx="11">
                <c:v>DECEMBER</c:v>
              </c:pt>
            </c:strLit>
          </c:cat>
          <c:val>
            <c:numLit>
              <c:formatCode>General</c:formatCode>
              <c:ptCount val="12"/>
              <c:pt idx="0">
                <c:v>454643</c:v>
              </c:pt>
              <c:pt idx="1">
                <c:v>594025</c:v>
              </c:pt>
              <c:pt idx="2">
                <c:v>301864</c:v>
              </c:pt>
              <c:pt idx="3">
                <c:v>805828</c:v>
              </c:pt>
              <c:pt idx="4">
                <c:v>342365</c:v>
              </c:pt>
              <c:pt idx="5">
                <c:v>-23827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AC3-4624-A7C9-3D0B640548D0}"/>
            </c:ext>
          </c:extLst>
        </c:ser>
        <c:ser>
          <c:idx val="1"/>
          <c:order val="1"/>
          <c:tx>
            <c:v>TOTAL EXPENSES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11"/>
            <c:spPr>
              <a:solidFill>
                <a:srgbClr val="92D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Lit>
              <c:ptCount val="12"/>
              <c:pt idx="0">
                <c:v>JANUARY</c:v>
              </c:pt>
              <c:pt idx="1">
                <c:v>FEBRUARY</c:v>
              </c:pt>
              <c:pt idx="2">
                <c:v>MARCH</c:v>
              </c:pt>
              <c:pt idx="3">
                <c:v>APRIL</c:v>
              </c:pt>
              <c:pt idx="4">
                <c:v>MAY</c:v>
              </c:pt>
              <c:pt idx="5">
                <c:v>JUNE</c:v>
              </c:pt>
              <c:pt idx="6">
                <c:v>JULY</c:v>
              </c:pt>
              <c:pt idx="7">
                <c:v>AUGUST</c:v>
              </c:pt>
              <c:pt idx="8">
                <c:v>SEPTEMBER</c:v>
              </c:pt>
              <c:pt idx="9">
                <c:v>OCTOBER</c:v>
              </c:pt>
              <c:pt idx="10">
                <c:v>NOVEMBER</c:v>
              </c:pt>
              <c:pt idx="11">
                <c:v>DECEMBER</c:v>
              </c:pt>
            </c:strLit>
          </c:cat>
          <c:val>
            <c:numLit>
              <c:formatCode>General</c:formatCode>
              <c:ptCount val="12"/>
              <c:pt idx="0">
                <c:v>368000</c:v>
              </c:pt>
              <c:pt idx="1">
                <c:v>381600</c:v>
              </c:pt>
              <c:pt idx="2">
                <c:v>368000</c:v>
              </c:pt>
              <c:pt idx="3">
                <c:v>368000</c:v>
              </c:pt>
              <c:pt idx="4">
                <c:v>368000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AC3-4624-A7C9-3D0B640548D0}"/>
            </c:ext>
          </c:extLst>
        </c:ser>
        <c:ser>
          <c:idx val="2"/>
          <c:order val="2"/>
          <c:tx>
            <c:v>PROFIT / LOSS</c:v>
          </c:tx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diamond"/>
            <c:size val="7"/>
            <c:spPr>
              <a:solidFill>
                <a:srgbClr val="FFC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2"/>
              <c:pt idx="0">
                <c:v>JANUARY</c:v>
              </c:pt>
              <c:pt idx="1">
                <c:v>FEBRUARY</c:v>
              </c:pt>
              <c:pt idx="2">
                <c:v>MARCH</c:v>
              </c:pt>
              <c:pt idx="3">
                <c:v>APRIL</c:v>
              </c:pt>
              <c:pt idx="4">
                <c:v>MAY</c:v>
              </c:pt>
              <c:pt idx="5">
                <c:v>JUNE</c:v>
              </c:pt>
              <c:pt idx="6">
                <c:v>JULY</c:v>
              </c:pt>
              <c:pt idx="7">
                <c:v>AUGUST</c:v>
              </c:pt>
              <c:pt idx="8">
                <c:v>SEPTEMBER</c:v>
              </c:pt>
              <c:pt idx="9">
                <c:v>OCTOBER</c:v>
              </c:pt>
              <c:pt idx="10">
                <c:v>NOVEMBER</c:v>
              </c:pt>
              <c:pt idx="11">
                <c:v>DECEMBER</c:v>
              </c:pt>
            </c:strLit>
          </c:cat>
          <c:val>
            <c:numLit>
              <c:formatCode>General</c:formatCode>
              <c:ptCount val="12"/>
              <c:pt idx="0">
                <c:v>86643</c:v>
              </c:pt>
              <c:pt idx="1">
                <c:v>212425</c:v>
              </c:pt>
              <c:pt idx="2">
                <c:v>-66136</c:v>
              </c:pt>
              <c:pt idx="3">
                <c:v>437828</c:v>
              </c:pt>
              <c:pt idx="4">
                <c:v>-25635</c:v>
              </c:pt>
              <c:pt idx="5">
                <c:v>-23827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AC3-4624-A7C9-3D0B64054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345152"/>
        <c:axId val="119347072"/>
      </c:lineChart>
      <c:catAx>
        <c:axId val="11934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119347072"/>
        <c:crosses val="autoZero"/>
        <c:auto val="1"/>
        <c:lblAlgn val="ctr"/>
        <c:lblOffset val="100"/>
        <c:noMultiLvlLbl val="0"/>
      </c:catAx>
      <c:valAx>
        <c:axId val="119347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934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404901852057228"/>
          <c:y val="0.87117998548053843"/>
          <c:w val="0.42287420058408193"/>
          <c:h val="0.117045171985080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911860</xdr:colOff>
      <xdr:row>0</xdr:row>
      <xdr:rowOff>434340</xdr:rowOff>
    </xdr:from>
    <xdr:to>
      <xdr:col>14</xdr:col>
      <xdr:colOff>637540</xdr:colOff>
      <xdr:row>6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FB249-BBA8-4C3A-80BD-48CE060414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CFF51-4A79-4DD6-9B6D-5CEF264E597C}">
  <sheetPr codeName="Sheet1"/>
  <dimension ref="A1:Y1040"/>
  <sheetViews>
    <sheetView tabSelected="1" workbookViewId="0"/>
  </sheetViews>
  <sheetFormatPr defaultColWidth="14.3984375" defaultRowHeight="14.25" x14ac:dyDescent="0.45"/>
  <cols>
    <col min="1" max="1" width="3.3984375" customWidth="1"/>
    <col min="2" max="2" width="35.73046875" customWidth="1"/>
    <col min="3" max="3" width="15.73046875" customWidth="1"/>
    <col min="4" max="15" width="11.73046875" customWidth="1"/>
    <col min="16" max="16" width="2.3984375" customWidth="1"/>
    <col min="17" max="17" width="13.73046875" customWidth="1"/>
    <col min="18" max="18" width="3.3984375" customWidth="1"/>
    <col min="19" max="25" width="28.59765625" customWidth="1"/>
  </cols>
  <sheetData>
    <row r="1" spans="1:25" ht="45" customHeight="1" x14ac:dyDescent="0.45">
      <c r="B1" s="1" t="s">
        <v>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25" ht="22.15" customHeight="1" x14ac:dyDescent="0.5">
      <c r="A2" s="3"/>
      <c r="B2" s="48" t="s">
        <v>1</v>
      </c>
      <c r="C2" s="48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5"/>
      <c r="S2" s="5"/>
      <c r="T2" s="5"/>
      <c r="U2" s="5"/>
      <c r="V2" s="5"/>
      <c r="W2" s="5"/>
      <c r="X2" s="5"/>
      <c r="Y2" s="5"/>
    </row>
    <row r="3" spans="1:25" ht="34.9" customHeight="1" thickBot="1" x14ac:dyDescent="0.5">
      <c r="A3" s="6"/>
      <c r="B3" s="49" t="s">
        <v>2</v>
      </c>
      <c r="C3" s="49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6"/>
      <c r="S3" s="6"/>
      <c r="T3" s="6"/>
      <c r="U3" s="6"/>
      <c r="V3" s="6"/>
      <c r="W3" s="6"/>
      <c r="X3" s="6"/>
      <c r="Y3" s="6"/>
    </row>
    <row r="4" spans="1:25" ht="15" customHeight="1" x14ac:dyDescent="0.5">
      <c r="A4" s="5"/>
      <c r="B4" s="8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S4" s="5"/>
      <c r="T4" s="5"/>
      <c r="U4" s="5"/>
      <c r="V4" s="5"/>
      <c r="W4" s="5"/>
      <c r="X4" s="5"/>
      <c r="Y4" s="5"/>
    </row>
    <row r="5" spans="1:25" ht="22.15" customHeight="1" x14ac:dyDescent="0.5">
      <c r="A5" s="3"/>
      <c r="B5" s="48" t="s">
        <v>3</v>
      </c>
      <c r="C5" s="48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5"/>
      <c r="S5" s="5"/>
      <c r="T5" s="5"/>
      <c r="U5" s="5"/>
      <c r="V5" s="5"/>
      <c r="W5" s="5"/>
      <c r="X5" s="5"/>
      <c r="Y5" s="5"/>
    </row>
    <row r="6" spans="1:25" ht="34.9" customHeight="1" thickBot="1" x14ac:dyDescent="0.5">
      <c r="A6" s="6"/>
      <c r="B6" s="49" t="s">
        <v>4</v>
      </c>
      <c r="C6" s="49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6"/>
      <c r="S6" s="6"/>
      <c r="T6" s="6"/>
      <c r="U6" s="6"/>
      <c r="V6" s="6"/>
      <c r="W6" s="6"/>
      <c r="X6" s="6"/>
      <c r="Y6" s="6"/>
    </row>
    <row r="7" spans="1:25" ht="15" customHeight="1" x14ac:dyDescent="0.5">
      <c r="A7" s="5"/>
      <c r="B7" s="10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S7" s="5"/>
      <c r="T7" s="5"/>
      <c r="U7" s="5"/>
      <c r="V7" s="5"/>
      <c r="W7" s="5"/>
      <c r="X7" s="5"/>
      <c r="Y7" s="5"/>
    </row>
    <row r="8" spans="1:25" ht="19.899999999999999" customHeight="1" x14ac:dyDescent="0.5">
      <c r="A8" s="6"/>
      <c r="B8" s="8"/>
      <c r="C8" s="11" t="s">
        <v>5</v>
      </c>
      <c r="D8" s="11" t="s">
        <v>6</v>
      </c>
      <c r="E8" s="11" t="s">
        <v>7</v>
      </c>
      <c r="F8" s="11" t="s">
        <v>8</v>
      </c>
      <c r="G8" s="11" t="s">
        <v>9</v>
      </c>
      <c r="H8" s="11" t="s">
        <v>10</v>
      </c>
      <c r="I8" s="11" t="s">
        <v>11</v>
      </c>
      <c r="J8" s="11" t="s">
        <v>12</v>
      </c>
      <c r="K8" s="11" t="s">
        <v>13</v>
      </c>
      <c r="L8" s="11" t="s">
        <v>14</v>
      </c>
      <c r="M8" s="11" t="s">
        <v>15</v>
      </c>
      <c r="N8" s="11" t="s">
        <v>16</v>
      </c>
      <c r="O8" s="11" t="s">
        <v>17</v>
      </c>
      <c r="P8" s="7"/>
      <c r="Q8" s="11" t="s">
        <v>18</v>
      </c>
      <c r="S8" s="6"/>
      <c r="T8" s="6"/>
      <c r="U8" s="6"/>
      <c r="V8" s="6"/>
      <c r="W8" s="6"/>
      <c r="X8" s="6"/>
      <c r="Y8" s="6"/>
    </row>
    <row r="9" spans="1:25" ht="19.899999999999999" customHeight="1" x14ac:dyDescent="0.5">
      <c r="A9" s="5"/>
      <c r="B9" s="12" t="s">
        <v>19</v>
      </c>
      <c r="C9" s="13"/>
      <c r="D9" s="14">
        <f>D31</f>
        <v>954643</v>
      </c>
      <c r="E9" s="14">
        <f>E31</f>
        <v>1224993</v>
      </c>
      <c r="F9" s="14">
        <f>F31</f>
        <v>855633</v>
      </c>
      <c r="G9" s="14">
        <f t="shared" ref="G9:I9" si="0">G31</f>
        <v>1005928</v>
      </c>
      <c r="H9" s="14">
        <f t="shared" si="0"/>
        <v>782575</v>
      </c>
      <c r="I9" s="14">
        <f t="shared" si="0"/>
        <v>352802</v>
      </c>
      <c r="J9" s="14">
        <f>1567822</f>
        <v>1567822</v>
      </c>
      <c r="K9" s="14">
        <f>784954</f>
        <v>784954</v>
      </c>
      <c r="L9" s="14">
        <f>473655</f>
        <v>473655</v>
      </c>
      <c r="M9" s="14">
        <f>657043</f>
        <v>657043</v>
      </c>
      <c r="N9" s="14">
        <f>645734</f>
        <v>645734</v>
      </c>
      <c r="O9" s="14">
        <f>990150</f>
        <v>990150</v>
      </c>
      <c r="P9" s="15"/>
      <c r="Q9" s="14">
        <f>SUM(D9:O9)</f>
        <v>10295932</v>
      </c>
      <c r="S9" s="5"/>
      <c r="T9" s="5"/>
      <c r="U9" s="5"/>
      <c r="V9" s="5"/>
      <c r="W9" s="5"/>
    </row>
    <row r="10" spans="1:25" ht="19.899999999999999" customHeight="1" thickBot="1" x14ac:dyDescent="0.55000000000000004">
      <c r="A10" s="5"/>
      <c r="B10" s="16" t="s">
        <v>20</v>
      </c>
      <c r="C10" s="17"/>
      <c r="D10" s="18">
        <f>D99</f>
        <v>407700</v>
      </c>
      <c r="E10" s="18">
        <f t="shared" ref="E10:H10" si="1">E99</f>
        <v>421300</v>
      </c>
      <c r="F10" s="18">
        <f t="shared" si="1"/>
        <v>407700</v>
      </c>
      <c r="G10" s="18">
        <f t="shared" si="1"/>
        <v>407700</v>
      </c>
      <c r="H10" s="18">
        <f t="shared" si="1"/>
        <v>257700</v>
      </c>
      <c r="I10" s="18">
        <f>13622</f>
        <v>13622</v>
      </c>
      <c r="J10" s="18">
        <f>253743</f>
        <v>253743</v>
      </c>
      <c r="K10" s="18">
        <f>109456</f>
        <v>109456</v>
      </c>
      <c r="L10" s="18">
        <f>22390</f>
        <v>22390</v>
      </c>
      <c r="M10" s="18">
        <f>228904</f>
        <v>228904</v>
      </c>
      <c r="N10" s="18">
        <f>367899</f>
        <v>367899</v>
      </c>
      <c r="O10" s="18">
        <f>146750</f>
        <v>146750</v>
      </c>
      <c r="P10" s="5"/>
      <c r="Q10" s="18">
        <f>SUM(D10:O10)</f>
        <v>3044864</v>
      </c>
      <c r="R10" s="5"/>
      <c r="S10" s="5"/>
      <c r="T10" s="5"/>
      <c r="U10" s="5"/>
      <c r="V10" s="5"/>
      <c r="W10" s="5"/>
      <c r="X10" s="5"/>
      <c r="Y10" s="5"/>
    </row>
    <row r="11" spans="1:25" ht="22.15" customHeight="1" thickTop="1" thickBot="1" x14ac:dyDescent="0.55000000000000004">
      <c r="A11" s="5"/>
      <c r="B11" s="19" t="s">
        <v>21</v>
      </c>
      <c r="C11" s="20"/>
      <c r="D11" s="21">
        <f>D9-D10</f>
        <v>546943</v>
      </c>
      <c r="E11" s="21">
        <f t="shared" ref="E11:O11" si="2">E9-E10</f>
        <v>803693</v>
      </c>
      <c r="F11" s="21">
        <f t="shared" si="2"/>
        <v>447933</v>
      </c>
      <c r="G11" s="21">
        <f t="shared" si="2"/>
        <v>598228</v>
      </c>
      <c r="H11" s="21">
        <f t="shared" si="2"/>
        <v>524875</v>
      </c>
      <c r="I11" s="21">
        <f t="shared" si="2"/>
        <v>339180</v>
      </c>
      <c r="J11" s="21">
        <f t="shared" si="2"/>
        <v>1314079</v>
      </c>
      <c r="K11" s="21">
        <f t="shared" si="2"/>
        <v>675498</v>
      </c>
      <c r="L11" s="21">
        <f t="shared" si="2"/>
        <v>451265</v>
      </c>
      <c r="M11" s="21">
        <f t="shared" si="2"/>
        <v>428139</v>
      </c>
      <c r="N11" s="21">
        <f t="shared" si="2"/>
        <v>277835</v>
      </c>
      <c r="O11" s="21">
        <f t="shared" si="2"/>
        <v>843400</v>
      </c>
      <c r="P11" s="15"/>
      <c r="Q11" s="21">
        <f>Q9-Q10</f>
        <v>7251068</v>
      </c>
      <c r="S11" s="5"/>
      <c r="T11" s="5"/>
      <c r="U11" s="5"/>
      <c r="V11" s="5"/>
      <c r="W11" s="5"/>
    </row>
    <row r="12" spans="1:25" ht="19.899999999999999" customHeight="1" x14ac:dyDescent="0.5">
      <c r="A12" s="5"/>
      <c r="B12" s="5"/>
      <c r="C12" s="1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5"/>
      <c r="Q12" s="5"/>
      <c r="S12" s="5"/>
      <c r="T12" s="5"/>
      <c r="U12" s="5"/>
      <c r="V12" s="5"/>
      <c r="W12" s="5"/>
    </row>
    <row r="13" spans="1:25" s="25" customFormat="1" ht="19.899999999999999" customHeight="1" x14ac:dyDescent="0.45">
      <c r="A13" s="22"/>
      <c r="B13" s="23" t="s">
        <v>22</v>
      </c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S13" s="22"/>
      <c r="T13" s="22"/>
      <c r="U13" s="22"/>
      <c r="V13" s="22"/>
      <c r="W13" s="22"/>
      <c r="X13" s="22"/>
      <c r="Y13" s="22"/>
    </row>
    <row r="14" spans="1:25" ht="19.899999999999999" customHeight="1" x14ac:dyDescent="0.45">
      <c r="A14" s="6"/>
      <c r="B14" s="26" t="s">
        <v>23</v>
      </c>
      <c r="C14" s="11" t="s">
        <v>5</v>
      </c>
      <c r="D14" s="27" t="s">
        <v>6</v>
      </c>
      <c r="E14" s="27" t="s">
        <v>7</v>
      </c>
      <c r="F14" s="27" t="s">
        <v>8</v>
      </c>
      <c r="G14" s="27" t="s">
        <v>9</v>
      </c>
      <c r="H14" s="27" t="s">
        <v>10</v>
      </c>
      <c r="I14" s="27" t="s">
        <v>11</v>
      </c>
      <c r="J14" s="27" t="s">
        <v>12</v>
      </c>
      <c r="K14" s="27" t="s">
        <v>13</v>
      </c>
      <c r="L14" s="27" t="s">
        <v>14</v>
      </c>
      <c r="M14" s="27" t="s">
        <v>15</v>
      </c>
      <c r="N14" s="27" t="s">
        <v>16</v>
      </c>
      <c r="O14" s="27" t="s">
        <v>17</v>
      </c>
      <c r="P14" s="7"/>
      <c r="Q14" s="27" t="s">
        <v>18</v>
      </c>
      <c r="S14" s="6"/>
      <c r="T14" s="6"/>
      <c r="U14" s="6"/>
      <c r="V14" s="6"/>
      <c r="W14" s="6"/>
      <c r="X14" s="6"/>
      <c r="Y14" s="6"/>
    </row>
    <row r="15" spans="1:25" ht="19.899999999999999" customHeight="1" x14ac:dyDescent="0.5">
      <c r="A15" s="5"/>
      <c r="B15" s="28" t="s">
        <v>24</v>
      </c>
      <c r="C15" s="29"/>
      <c r="D15" s="30">
        <v>950000</v>
      </c>
      <c r="E15" s="30">
        <v>1200000</v>
      </c>
      <c r="F15" s="30">
        <v>857654</v>
      </c>
      <c r="G15" s="30">
        <v>986043</v>
      </c>
      <c r="H15" s="30">
        <v>786944</v>
      </c>
      <c r="I15" s="30">
        <v>367734</v>
      </c>
      <c r="J15" s="30">
        <v>1567345</v>
      </c>
      <c r="K15" s="30">
        <v>700000</v>
      </c>
      <c r="L15" s="30">
        <v>424584</v>
      </c>
      <c r="M15" s="30">
        <v>657043</v>
      </c>
      <c r="N15" s="30">
        <v>630067</v>
      </c>
      <c r="O15" s="30">
        <v>994673</v>
      </c>
      <c r="P15" s="15"/>
      <c r="Q15" s="30">
        <f>SUM(D15:O15)</f>
        <v>10122087</v>
      </c>
      <c r="S15" s="5"/>
      <c r="T15" s="5"/>
      <c r="U15" s="5"/>
      <c r="V15" s="5"/>
      <c r="W15" s="5"/>
    </row>
    <row r="16" spans="1:25" ht="19.899999999999999" customHeight="1" x14ac:dyDescent="0.5">
      <c r="A16" s="5"/>
      <c r="B16" s="28" t="s">
        <v>25</v>
      </c>
      <c r="C16" s="29"/>
      <c r="D16" s="30">
        <v>32343</v>
      </c>
      <c r="E16" s="30">
        <v>34893</v>
      </c>
      <c r="F16" s="30">
        <v>35679</v>
      </c>
      <c r="G16" s="30">
        <v>34563</v>
      </c>
      <c r="H16" s="30">
        <v>23213</v>
      </c>
      <c r="I16" s="30">
        <v>24589</v>
      </c>
      <c r="J16" s="30">
        <v>32343</v>
      </c>
      <c r="K16" s="30">
        <v>32343</v>
      </c>
      <c r="L16" s="30">
        <v>35679</v>
      </c>
      <c r="M16" s="30">
        <v>35679</v>
      </c>
      <c r="N16" s="30">
        <v>34563</v>
      </c>
      <c r="O16" s="30">
        <v>34563</v>
      </c>
      <c r="P16" s="15"/>
      <c r="Q16" s="30">
        <f t="shared" ref="Q16:Q22" si="3">SUM(D16:O16)</f>
        <v>390450</v>
      </c>
      <c r="S16" s="5"/>
      <c r="T16" s="5"/>
      <c r="U16" s="5"/>
      <c r="V16" s="5"/>
      <c r="W16" s="5"/>
    </row>
    <row r="17" spans="1:23" ht="19.899999999999999" customHeight="1" x14ac:dyDescent="0.5">
      <c r="A17" s="5"/>
      <c r="B17" s="28" t="s">
        <v>26</v>
      </c>
      <c r="C17" s="29"/>
      <c r="D17" s="30">
        <v>0</v>
      </c>
      <c r="E17" s="30">
        <v>0</v>
      </c>
      <c r="F17" s="30"/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15"/>
      <c r="Q17" s="30">
        <f t="shared" si="3"/>
        <v>0</v>
      </c>
      <c r="S17" s="5"/>
      <c r="T17" s="5"/>
      <c r="U17" s="5"/>
      <c r="V17" s="5"/>
      <c r="W17" s="5"/>
    </row>
    <row r="18" spans="1:23" ht="19.899999999999999" customHeight="1" x14ac:dyDescent="0.5">
      <c r="A18" s="5"/>
      <c r="B18" s="28" t="s">
        <v>27</v>
      </c>
      <c r="C18" s="29"/>
      <c r="D18" s="30">
        <v>0</v>
      </c>
      <c r="E18" s="30">
        <v>0</v>
      </c>
      <c r="F18" s="30"/>
      <c r="G18" s="30">
        <v>0</v>
      </c>
      <c r="H18" s="30">
        <v>0</v>
      </c>
      <c r="I18" s="30">
        <v>0</v>
      </c>
      <c r="J18" s="30">
        <v>0</v>
      </c>
      <c r="K18" s="30">
        <v>0</v>
      </c>
      <c r="L18" s="30">
        <v>0</v>
      </c>
      <c r="M18" s="30">
        <v>0</v>
      </c>
      <c r="N18" s="30">
        <v>0</v>
      </c>
      <c r="O18" s="30">
        <v>0</v>
      </c>
      <c r="P18" s="15"/>
      <c r="Q18" s="30">
        <f t="shared" si="3"/>
        <v>0</v>
      </c>
      <c r="S18" s="5"/>
      <c r="T18" s="5"/>
      <c r="U18" s="5"/>
      <c r="V18" s="5"/>
      <c r="W18" s="5"/>
    </row>
    <row r="19" spans="1:23" ht="19.899999999999999" customHeight="1" x14ac:dyDescent="0.5">
      <c r="A19" s="5"/>
      <c r="B19" s="28" t="s">
        <v>28</v>
      </c>
      <c r="C19" s="29"/>
      <c r="D19" s="30">
        <v>0</v>
      </c>
      <c r="E19" s="30">
        <v>0</v>
      </c>
      <c r="F19" s="30"/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15"/>
      <c r="Q19" s="30">
        <f t="shared" si="3"/>
        <v>0</v>
      </c>
      <c r="S19" s="5"/>
      <c r="T19" s="5"/>
      <c r="U19" s="5"/>
      <c r="V19" s="5"/>
      <c r="W19" s="5"/>
    </row>
    <row r="20" spans="1:23" ht="19.899999999999999" customHeight="1" x14ac:dyDescent="0.5">
      <c r="A20" s="5"/>
      <c r="B20" s="28" t="s">
        <v>29</v>
      </c>
      <c r="C20" s="29"/>
      <c r="D20" s="30">
        <v>0</v>
      </c>
      <c r="E20" s="30">
        <v>0</v>
      </c>
      <c r="F20" s="30"/>
      <c r="G20" s="30">
        <v>0</v>
      </c>
      <c r="H20" s="30">
        <v>0</v>
      </c>
      <c r="I20" s="30">
        <v>0</v>
      </c>
      <c r="J20" s="30">
        <v>0</v>
      </c>
      <c r="K20" s="30">
        <v>0</v>
      </c>
      <c r="L20" s="30">
        <v>0</v>
      </c>
      <c r="M20" s="30">
        <v>0</v>
      </c>
      <c r="N20" s="30">
        <v>0</v>
      </c>
      <c r="O20" s="30">
        <v>0</v>
      </c>
      <c r="P20" s="15"/>
      <c r="Q20" s="30">
        <f t="shared" si="3"/>
        <v>0</v>
      </c>
      <c r="S20" s="5"/>
      <c r="T20" s="5"/>
      <c r="U20" s="5"/>
      <c r="V20" s="5"/>
      <c r="W20" s="5"/>
    </row>
    <row r="21" spans="1:23" ht="19.899999999999999" customHeight="1" x14ac:dyDescent="0.5">
      <c r="A21" s="5"/>
      <c r="B21" s="28" t="s">
        <v>30</v>
      </c>
      <c r="C21" s="29"/>
      <c r="D21" s="30">
        <v>0</v>
      </c>
      <c r="E21" s="30">
        <v>0</v>
      </c>
      <c r="F21" s="30"/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15"/>
      <c r="Q21" s="30">
        <f t="shared" si="3"/>
        <v>0</v>
      </c>
      <c r="S21" s="5"/>
      <c r="T21" s="5"/>
      <c r="U21" s="5"/>
      <c r="V21" s="5"/>
      <c r="W21" s="5"/>
    </row>
    <row r="22" spans="1:23" ht="19.899999999999999" customHeight="1" x14ac:dyDescent="0.5">
      <c r="A22" s="5"/>
      <c r="B22" s="28" t="s">
        <v>31</v>
      </c>
      <c r="C22" s="29"/>
      <c r="D22" s="30">
        <v>0</v>
      </c>
      <c r="E22" s="30">
        <v>0</v>
      </c>
      <c r="F22" s="30"/>
      <c r="G22" s="30">
        <v>0</v>
      </c>
      <c r="H22" s="30">
        <v>0</v>
      </c>
      <c r="I22" s="30">
        <v>0</v>
      </c>
      <c r="J22" s="30">
        <v>0</v>
      </c>
      <c r="K22" s="30">
        <v>0</v>
      </c>
      <c r="L22" s="30">
        <v>0</v>
      </c>
      <c r="M22" s="30">
        <v>0</v>
      </c>
      <c r="N22" s="30">
        <v>0</v>
      </c>
      <c r="O22" s="30">
        <v>0</v>
      </c>
      <c r="P22" s="15"/>
      <c r="Q22" s="30">
        <f t="shared" si="3"/>
        <v>0</v>
      </c>
      <c r="S22" s="5"/>
      <c r="T22" s="5"/>
      <c r="U22" s="5"/>
      <c r="V22" s="5"/>
      <c r="W22" s="5"/>
    </row>
    <row r="23" spans="1:23" ht="19.899999999999999" customHeight="1" x14ac:dyDescent="0.5">
      <c r="A23" s="5"/>
      <c r="B23" s="31" t="s">
        <v>32</v>
      </c>
      <c r="C23" s="13"/>
      <c r="D23" s="14">
        <f>SUM(D15:D22)</f>
        <v>982343</v>
      </c>
      <c r="E23" s="14">
        <f t="shared" ref="E23:Q23" si="4">SUM(E15:E22)</f>
        <v>1234893</v>
      </c>
      <c r="F23" s="14">
        <f t="shared" si="4"/>
        <v>893333</v>
      </c>
      <c r="G23" s="14">
        <f t="shared" si="4"/>
        <v>1020606</v>
      </c>
      <c r="H23" s="14">
        <f t="shared" si="4"/>
        <v>810157</v>
      </c>
      <c r="I23" s="14">
        <f t="shared" si="4"/>
        <v>392323</v>
      </c>
      <c r="J23" s="14">
        <f t="shared" si="4"/>
        <v>1599688</v>
      </c>
      <c r="K23" s="14">
        <f t="shared" si="4"/>
        <v>732343</v>
      </c>
      <c r="L23" s="14">
        <f t="shared" si="4"/>
        <v>460263</v>
      </c>
      <c r="M23" s="14">
        <f t="shared" si="4"/>
        <v>692722</v>
      </c>
      <c r="N23" s="14">
        <f t="shared" si="4"/>
        <v>664630</v>
      </c>
      <c r="O23" s="14">
        <f t="shared" si="4"/>
        <v>1029236</v>
      </c>
      <c r="P23" s="15"/>
      <c r="Q23" s="14">
        <f t="shared" si="4"/>
        <v>10512537</v>
      </c>
      <c r="S23" s="5"/>
      <c r="T23" s="5"/>
      <c r="U23" s="5"/>
      <c r="V23" s="5"/>
      <c r="W23" s="5"/>
    </row>
    <row r="24" spans="1:23" ht="19.899999999999999" customHeight="1" x14ac:dyDescent="0.5">
      <c r="A24" s="5"/>
      <c r="B24" s="5"/>
      <c r="C24" s="1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5"/>
      <c r="Q24" s="5"/>
      <c r="S24" s="5"/>
      <c r="T24" s="5"/>
      <c r="U24" s="5"/>
      <c r="V24" s="5"/>
      <c r="W24" s="5"/>
    </row>
    <row r="25" spans="1:23" ht="19.899999999999999" customHeight="1" x14ac:dyDescent="0.5">
      <c r="A25" s="5"/>
      <c r="B25" s="26" t="s">
        <v>33</v>
      </c>
      <c r="C25" s="11" t="s">
        <v>5</v>
      </c>
      <c r="D25" s="11" t="s">
        <v>6</v>
      </c>
      <c r="E25" s="11" t="s">
        <v>7</v>
      </c>
      <c r="F25" s="11" t="s">
        <v>8</v>
      </c>
      <c r="G25" s="11" t="s">
        <v>9</v>
      </c>
      <c r="H25" s="11" t="s">
        <v>10</v>
      </c>
      <c r="I25" s="11" t="s">
        <v>11</v>
      </c>
      <c r="J25" s="11" t="s">
        <v>12</v>
      </c>
      <c r="K25" s="11" t="s">
        <v>13</v>
      </c>
      <c r="L25" s="11" t="s">
        <v>14</v>
      </c>
      <c r="M25" s="11" t="s">
        <v>15</v>
      </c>
      <c r="N25" s="11" t="s">
        <v>16</v>
      </c>
      <c r="O25" s="11" t="s">
        <v>17</v>
      </c>
      <c r="P25" s="15"/>
      <c r="Q25" s="27" t="s">
        <v>18</v>
      </c>
      <c r="S25" s="5"/>
      <c r="T25" s="5"/>
      <c r="U25" s="5"/>
      <c r="V25" s="5"/>
      <c r="W25" s="5"/>
    </row>
    <row r="26" spans="1:23" ht="19.899999999999999" customHeight="1" x14ac:dyDescent="0.5">
      <c r="A26" s="32"/>
      <c r="B26" s="33" t="s">
        <v>34</v>
      </c>
      <c r="C26" s="29"/>
      <c r="D26" s="34">
        <v>1500</v>
      </c>
      <c r="E26" s="34">
        <v>800</v>
      </c>
      <c r="F26" s="34">
        <v>1600</v>
      </c>
      <c r="G26" s="34">
        <v>2500</v>
      </c>
      <c r="H26" s="34">
        <v>3445</v>
      </c>
      <c r="I26" s="34">
        <v>4478</v>
      </c>
      <c r="J26" s="34">
        <v>0</v>
      </c>
      <c r="K26" s="34">
        <v>0</v>
      </c>
      <c r="L26" s="34">
        <v>0</v>
      </c>
      <c r="M26" s="34">
        <v>0</v>
      </c>
      <c r="N26" s="34">
        <v>0</v>
      </c>
      <c r="O26" s="34">
        <v>0</v>
      </c>
      <c r="P26" s="15"/>
      <c r="Q26" s="34">
        <f>SUM(D26:O26)</f>
        <v>14323</v>
      </c>
      <c r="S26" s="32"/>
      <c r="T26" s="32"/>
      <c r="U26" s="32"/>
      <c r="V26" s="32"/>
      <c r="W26" s="32"/>
    </row>
    <row r="27" spans="1:23" ht="19.899999999999999" customHeight="1" x14ac:dyDescent="0.5">
      <c r="A27" s="5"/>
      <c r="B27" s="33" t="s">
        <v>35</v>
      </c>
      <c r="C27" s="29"/>
      <c r="D27" s="34">
        <v>4200</v>
      </c>
      <c r="E27" s="34">
        <v>1100</v>
      </c>
      <c r="F27" s="34">
        <v>5600</v>
      </c>
      <c r="G27" s="34">
        <v>4678</v>
      </c>
      <c r="H27" s="34">
        <v>3678</v>
      </c>
      <c r="I27" s="34">
        <v>5600</v>
      </c>
      <c r="J27" s="34">
        <v>0</v>
      </c>
      <c r="K27" s="34">
        <v>0</v>
      </c>
      <c r="L27" s="34">
        <v>0</v>
      </c>
      <c r="M27" s="34">
        <v>0</v>
      </c>
      <c r="N27" s="34">
        <v>0</v>
      </c>
      <c r="O27" s="34">
        <v>0</v>
      </c>
      <c r="P27" s="35"/>
      <c r="Q27" s="34">
        <f t="shared" ref="Q27:Q28" si="5">SUM(D27:O27)</f>
        <v>24856</v>
      </c>
      <c r="S27" s="5"/>
      <c r="T27" s="5"/>
      <c r="U27" s="5"/>
      <c r="V27" s="5"/>
      <c r="W27" s="5"/>
    </row>
    <row r="28" spans="1:23" ht="19.899999999999999" customHeight="1" x14ac:dyDescent="0.45">
      <c r="A28" s="3"/>
      <c r="B28" s="33" t="s">
        <v>36</v>
      </c>
      <c r="C28" s="29"/>
      <c r="D28" s="34">
        <v>22000</v>
      </c>
      <c r="E28" s="34">
        <v>8000</v>
      </c>
      <c r="F28" s="34">
        <v>30500</v>
      </c>
      <c r="G28" s="34">
        <v>7500</v>
      </c>
      <c r="H28" s="34">
        <v>20459</v>
      </c>
      <c r="I28" s="34">
        <v>29443</v>
      </c>
      <c r="J28" s="34">
        <v>0</v>
      </c>
      <c r="K28" s="34">
        <v>0</v>
      </c>
      <c r="L28" s="34">
        <v>0</v>
      </c>
      <c r="M28" s="34">
        <v>0</v>
      </c>
      <c r="N28" s="34">
        <v>0</v>
      </c>
      <c r="O28" s="34">
        <v>0</v>
      </c>
      <c r="P28" s="35"/>
      <c r="Q28" s="34">
        <f t="shared" si="5"/>
        <v>117902</v>
      </c>
      <c r="S28" s="3"/>
      <c r="T28" s="3"/>
      <c r="U28" s="3"/>
      <c r="V28" s="3"/>
      <c r="W28" s="3"/>
    </row>
    <row r="29" spans="1:23" ht="19.899999999999999" customHeight="1" x14ac:dyDescent="0.5">
      <c r="A29" s="5"/>
      <c r="B29" s="31" t="s">
        <v>37</v>
      </c>
      <c r="C29" s="13"/>
      <c r="D29" s="14">
        <f>SUM(D26:D28)</f>
        <v>27700</v>
      </c>
      <c r="E29" s="14">
        <f t="shared" ref="E29:Q29" si="6">SUM(E26:E28)</f>
        <v>9900</v>
      </c>
      <c r="F29" s="14">
        <f t="shared" si="6"/>
        <v>37700</v>
      </c>
      <c r="G29" s="14">
        <f t="shared" si="6"/>
        <v>14678</v>
      </c>
      <c r="H29" s="14">
        <f t="shared" si="6"/>
        <v>27582</v>
      </c>
      <c r="I29" s="14">
        <f t="shared" si="6"/>
        <v>39521</v>
      </c>
      <c r="J29" s="14">
        <f t="shared" si="6"/>
        <v>0</v>
      </c>
      <c r="K29" s="14">
        <f t="shared" si="6"/>
        <v>0</v>
      </c>
      <c r="L29" s="14">
        <f t="shared" si="6"/>
        <v>0</v>
      </c>
      <c r="M29" s="14">
        <f t="shared" si="6"/>
        <v>0</v>
      </c>
      <c r="N29" s="14">
        <f t="shared" si="6"/>
        <v>0</v>
      </c>
      <c r="O29" s="14">
        <f t="shared" si="6"/>
        <v>0</v>
      </c>
      <c r="P29" s="15"/>
      <c r="Q29" s="14">
        <f t="shared" si="6"/>
        <v>157081</v>
      </c>
      <c r="S29" s="5"/>
      <c r="T29" s="5"/>
      <c r="U29" s="5"/>
      <c r="V29" s="5"/>
      <c r="W29" s="5"/>
    </row>
    <row r="30" spans="1:23" ht="19.899999999999999" customHeight="1" x14ac:dyDescent="0.5">
      <c r="A30" s="5"/>
      <c r="B30" s="36"/>
      <c r="C30" s="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15"/>
      <c r="Q30" s="5"/>
      <c r="S30" s="5"/>
      <c r="T30" s="5"/>
      <c r="U30" s="5"/>
      <c r="V30" s="5"/>
      <c r="W30" s="5"/>
    </row>
    <row r="31" spans="1:23" ht="19.899999999999999" customHeight="1" x14ac:dyDescent="0.5">
      <c r="A31" s="5"/>
      <c r="B31" s="37" t="s">
        <v>38</v>
      </c>
      <c r="C31" s="13"/>
      <c r="D31" s="14">
        <f>D23-D29</f>
        <v>954643</v>
      </c>
      <c r="E31" s="14">
        <f t="shared" ref="E31:O31" si="7">E23-E29</f>
        <v>1224993</v>
      </c>
      <c r="F31" s="14">
        <f t="shared" si="7"/>
        <v>855633</v>
      </c>
      <c r="G31" s="14">
        <f t="shared" si="7"/>
        <v>1005928</v>
      </c>
      <c r="H31" s="14">
        <f t="shared" si="7"/>
        <v>782575</v>
      </c>
      <c r="I31" s="14">
        <f t="shared" si="7"/>
        <v>352802</v>
      </c>
      <c r="J31" s="14">
        <f t="shared" si="7"/>
        <v>1599688</v>
      </c>
      <c r="K31" s="14">
        <f t="shared" si="7"/>
        <v>732343</v>
      </c>
      <c r="L31" s="14">
        <f t="shared" si="7"/>
        <v>460263</v>
      </c>
      <c r="M31" s="14">
        <f t="shared" si="7"/>
        <v>692722</v>
      </c>
      <c r="N31" s="14">
        <f t="shared" si="7"/>
        <v>664630</v>
      </c>
      <c r="O31" s="14">
        <f t="shared" si="7"/>
        <v>1029236</v>
      </c>
      <c r="P31" s="15"/>
      <c r="Q31" s="14">
        <f>Q23-Q29</f>
        <v>10355456</v>
      </c>
      <c r="S31" s="5"/>
      <c r="T31" s="5"/>
      <c r="U31" s="5"/>
      <c r="V31" s="5"/>
      <c r="W31" s="5"/>
    </row>
    <row r="32" spans="1:23" ht="19.899999999999999" customHeight="1" x14ac:dyDescent="0.5">
      <c r="A32" s="5"/>
      <c r="B32" s="8"/>
      <c r="C32" s="15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15"/>
      <c r="Q32" s="9"/>
      <c r="S32" s="5"/>
      <c r="T32" s="5"/>
      <c r="U32" s="5"/>
      <c r="V32" s="5"/>
      <c r="W32" s="5"/>
    </row>
    <row r="33" spans="1:25" ht="19.899999999999999" customHeight="1" x14ac:dyDescent="0.5">
      <c r="A33" s="5"/>
      <c r="B33" s="26" t="s">
        <v>39</v>
      </c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9"/>
      <c r="P33" s="15"/>
      <c r="Q33" s="40"/>
      <c r="S33" s="5"/>
      <c r="T33" s="5"/>
      <c r="U33" s="5"/>
      <c r="V33" s="5"/>
      <c r="W33" s="5"/>
    </row>
    <row r="34" spans="1:25" ht="19.899999999999999" customHeight="1" x14ac:dyDescent="0.5">
      <c r="A34" s="5"/>
      <c r="B34" s="41" t="s">
        <v>40</v>
      </c>
      <c r="C34" s="27" t="s">
        <v>5</v>
      </c>
      <c r="D34" s="42" t="s">
        <v>6</v>
      </c>
      <c r="E34" s="42" t="s">
        <v>7</v>
      </c>
      <c r="F34" s="42" t="s">
        <v>8</v>
      </c>
      <c r="G34" s="42" t="s">
        <v>9</v>
      </c>
      <c r="H34" s="42" t="s">
        <v>10</v>
      </c>
      <c r="I34" s="42" t="s">
        <v>11</v>
      </c>
      <c r="J34" s="42" t="s">
        <v>12</v>
      </c>
      <c r="K34" s="42" t="s">
        <v>13</v>
      </c>
      <c r="L34" s="42" t="s">
        <v>14</v>
      </c>
      <c r="M34" s="42" t="s">
        <v>15</v>
      </c>
      <c r="N34" s="42" t="s">
        <v>16</v>
      </c>
      <c r="O34" s="42" t="s">
        <v>17</v>
      </c>
      <c r="P34" s="15"/>
      <c r="Q34" s="27" t="s">
        <v>18</v>
      </c>
      <c r="S34" s="5"/>
      <c r="T34" s="5"/>
      <c r="U34" s="5"/>
      <c r="V34" s="5"/>
      <c r="W34" s="5"/>
    </row>
    <row r="35" spans="1:25" ht="19.899999999999999" customHeight="1" x14ac:dyDescent="0.5">
      <c r="A35" s="5"/>
      <c r="B35" s="28" t="s">
        <v>41</v>
      </c>
      <c r="C35" s="29"/>
      <c r="D35" s="30">
        <v>350000</v>
      </c>
      <c r="E35" s="30">
        <v>350000</v>
      </c>
      <c r="F35" s="30">
        <v>350000</v>
      </c>
      <c r="G35" s="30">
        <v>350000</v>
      </c>
      <c r="H35" s="30">
        <v>200000</v>
      </c>
      <c r="I35" s="30">
        <v>350000</v>
      </c>
      <c r="J35" s="30">
        <v>200000</v>
      </c>
      <c r="K35" s="30">
        <v>200000</v>
      </c>
      <c r="L35" s="30">
        <v>200000</v>
      </c>
      <c r="M35" s="30">
        <v>200000</v>
      </c>
      <c r="N35" s="30">
        <v>200000</v>
      </c>
      <c r="O35" s="30">
        <v>200000</v>
      </c>
      <c r="P35" s="43"/>
      <c r="Q35" s="30">
        <f>SUM(D35:O35)</f>
        <v>3150000</v>
      </c>
      <c r="R35" s="5"/>
      <c r="S35" s="5"/>
      <c r="T35" s="5"/>
      <c r="U35" s="5"/>
      <c r="V35" s="5"/>
      <c r="W35" s="5"/>
      <c r="X35" s="5"/>
      <c r="Y35" s="5"/>
    </row>
    <row r="36" spans="1:25" s="44" customFormat="1" ht="19.899999999999999" customHeight="1" x14ac:dyDescent="0.45">
      <c r="B36" s="28" t="s">
        <v>42</v>
      </c>
      <c r="C36" s="29"/>
      <c r="D36" s="30">
        <v>0</v>
      </c>
      <c r="E36" s="30">
        <v>0</v>
      </c>
      <c r="F36" s="30">
        <v>0</v>
      </c>
      <c r="G36" s="30">
        <v>0</v>
      </c>
      <c r="H36" s="30">
        <v>0</v>
      </c>
      <c r="I36" s="30">
        <v>0</v>
      </c>
      <c r="J36" s="30">
        <v>0</v>
      </c>
      <c r="K36" s="30">
        <v>0</v>
      </c>
      <c r="L36" s="30">
        <v>0</v>
      </c>
      <c r="M36" s="30">
        <v>0</v>
      </c>
      <c r="N36" s="30">
        <v>0</v>
      </c>
      <c r="O36" s="30">
        <v>0</v>
      </c>
      <c r="P36" s="15"/>
      <c r="Q36" s="30">
        <f t="shared" ref="Q36:Q42" si="8">SUM(D36:O36)</f>
        <v>0</v>
      </c>
      <c r="R36"/>
    </row>
    <row r="37" spans="1:25" ht="19.899999999999999" customHeight="1" x14ac:dyDescent="0.5">
      <c r="A37" s="5"/>
      <c r="B37" s="28" t="s">
        <v>43</v>
      </c>
      <c r="C37" s="29"/>
      <c r="D37" s="30">
        <v>18000</v>
      </c>
      <c r="E37" s="30">
        <v>18000</v>
      </c>
      <c r="F37" s="30">
        <v>18000</v>
      </c>
      <c r="G37" s="30">
        <v>18000</v>
      </c>
      <c r="H37" s="30">
        <v>18000</v>
      </c>
      <c r="I37" s="30">
        <v>18000</v>
      </c>
      <c r="J37" s="30">
        <v>18000</v>
      </c>
      <c r="K37" s="30">
        <v>18000</v>
      </c>
      <c r="L37" s="30">
        <v>0</v>
      </c>
      <c r="M37" s="30">
        <v>0</v>
      </c>
      <c r="N37" s="30">
        <v>18000</v>
      </c>
      <c r="O37" s="30">
        <v>18000</v>
      </c>
      <c r="P37" s="43"/>
      <c r="Q37" s="30">
        <f t="shared" si="8"/>
        <v>180000</v>
      </c>
      <c r="R37" s="5"/>
      <c r="S37" s="5"/>
      <c r="T37" s="5"/>
      <c r="U37" s="5"/>
      <c r="V37" s="5"/>
      <c r="W37" s="5"/>
      <c r="X37" s="5"/>
      <c r="Y37" s="5"/>
    </row>
    <row r="38" spans="1:25" ht="19.899999999999999" customHeight="1" x14ac:dyDescent="0.5">
      <c r="A38" s="5"/>
      <c r="B38" s="28" t="s">
        <v>44</v>
      </c>
      <c r="C38" s="29"/>
      <c r="D38" s="30">
        <v>0</v>
      </c>
      <c r="E38" s="30">
        <v>0</v>
      </c>
      <c r="F38" s="30">
        <v>0</v>
      </c>
      <c r="G38" s="30">
        <v>0</v>
      </c>
      <c r="H38" s="30">
        <v>0</v>
      </c>
      <c r="I38" s="30">
        <v>0</v>
      </c>
      <c r="J38" s="30">
        <v>0</v>
      </c>
      <c r="K38" s="30">
        <v>0</v>
      </c>
      <c r="L38" s="30">
        <v>0</v>
      </c>
      <c r="M38" s="30">
        <v>0</v>
      </c>
      <c r="N38" s="30">
        <v>0</v>
      </c>
      <c r="O38" s="30">
        <v>0</v>
      </c>
      <c r="P38" s="15"/>
      <c r="Q38" s="30">
        <f t="shared" si="8"/>
        <v>0</v>
      </c>
      <c r="S38" s="5"/>
      <c r="T38" s="5"/>
      <c r="U38" s="5"/>
      <c r="V38" s="5"/>
      <c r="W38" s="5"/>
      <c r="X38" s="5"/>
      <c r="Y38" s="5"/>
    </row>
    <row r="39" spans="1:25" ht="19.899999999999999" customHeight="1" x14ac:dyDescent="0.5">
      <c r="A39" s="5"/>
      <c r="B39" s="28" t="s">
        <v>45</v>
      </c>
      <c r="C39" s="29"/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15"/>
      <c r="Q39" s="30">
        <f t="shared" si="8"/>
        <v>0</v>
      </c>
      <c r="S39" s="5"/>
      <c r="T39" s="5"/>
      <c r="U39" s="5"/>
      <c r="V39" s="5"/>
      <c r="W39" s="5"/>
      <c r="X39" s="5"/>
      <c r="Y39" s="5"/>
    </row>
    <row r="40" spans="1:25" ht="19.899999999999999" customHeight="1" x14ac:dyDescent="0.5">
      <c r="A40" s="5"/>
      <c r="B40" s="28" t="s">
        <v>46</v>
      </c>
      <c r="C40" s="29"/>
      <c r="D40" s="30">
        <v>0</v>
      </c>
      <c r="E40" s="30">
        <v>0</v>
      </c>
      <c r="F40" s="30">
        <v>0</v>
      </c>
      <c r="G40" s="30">
        <v>0</v>
      </c>
      <c r="H40" s="30">
        <v>0</v>
      </c>
      <c r="I40" s="30">
        <v>0</v>
      </c>
      <c r="J40" s="30">
        <v>0</v>
      </c>
      <c r="K40" s="30">
        <v>0</v>
      </c>
      <c r="L40" s="30">
        <v>0</v>
      </c>
      <c r="M40" s="30">
        <v>0</v>
      </c>
      <c r="N40" s="30">
        <v>0</v>
      </c>
      <c r="O40" s="30">
        <v>0</v>
      </c>
      <c r="P40" s="43"/>
      <c r="Q40" s="30">
        <f t="shared" si="8"/>
        <v>0</v>
      </c>
      <c r="R40" s="5"/>
      <c r="S40" s="5"/>
      <c r="T40" s="5"/>
      <c r="U40" s="5"/>
      <c r="V40" s="5"/>
      <c r="W40" s="5"/>
      <c r="X40" s="5"/>
      <c r="Y40" s="5"/>
    </row>
    <row r="41" spans="1:25" s="44" customFormat="1" ht="19.899999999999999" customHeight="1" x14ac:dyDescent="0.45">
      <c r="B41" s="28" t="s">
        <v>47</v>
      </c>
      <c r="C41" s="29"/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15"/>
      <c r="Q41" s="30">
        <f t="shared" si="8"/>
        <v>0</v>
      </c>
      <c r="R41"/>
    </row>
    <row r="42" spans="1:25" ht="19.899999999999999" customHeight="1" x14ac:dyDescent="0.5">
      <c r="A42" s="5"/>
      <c r="B42" s="28" t="s">
        <v>48</v>
      </c>
      <c r="C42" s="29"/>
      <c r="D42" s="30">
        <v>0</v>
      </c>
      <c r="E42" s="30">
        <v>7300</v>
      </c>
      <c r="F42" s="30">
        <v>0</v>
      </c>
      <c r="G42" s="30">
        <v>0</v>
      </c>
      <c r="H42" s="30">
        <v>0</v>
      </c>
      <c r="I42" s="30">
        <v>0</v>
      </c>
      <c r="J42" s="30">
        <v>0</v>
      </c>
      <c r="K42" s="30">
        <v>0</v>
      </c>
      <c r="L42" s="30">
        <v>0</v>
      </c>
      <c r="M42" s="30">
        <v>0</v>
      </c>
      <c r="N42" s="30">
        <v>0</v>
      </c>
      <c r="O42" s="30">
        <v>0</v>
      </c>
      <c r="P42" s="43"/>
      <c r="Q42" s="30">
        <f t="shared" si="8"/>
        <v>7300</v>
      </c>
      <c r="R42" s="5"/>
      <c r="S42" s="5"/>
      <c r="T42" s="5"/>
      <c r="U42" s="5"/>
      <c r="V42" s="5"/>
      <c r="W42" s="5"/>
      <c r="X42" s="5"/>
      <c r="Y42" s="5"/>
    </row>
    <row r="43" spans="1:25" ht="19.899999999999999" customHeight="1" x14ac:dyDescent="0.5">
      <c r="A43" s="5"/>
      <c r="B43" s="28" t="s">
        <v>49</v>
      </c>
      <c r="C43" s="29"/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15"/>
      <c r="Q43" s="30">
        <f>SUM(D43:O43)</f>
        <v>0</v>
      </c>
      <c r="S43" s="5"/>
      <c r="T43" s="5"/>
      <c r="U43" s="5"/>
      <c r="V43" s="5"/>
      <c r="W43" s="5"/>
      <c r="X43" s="5"/>
      <c r="Y43" s="5"/>
    </row>
    <row r="44" spans="1:25" ht="19.899999999999999" customHeight="1" x14ac:dyDescent="0.5">
      <c r="A44" s="5"/>
      <c r="B44" s="31" t="s">
        <v>50</v>
      </c>
      <c r="C44" s="13"/>
      <c r="D44" s="14">
        <f>SUM(D35:D43)</f>
        <v>368000</v>
      </c>
      <c r="E44" s="14">
        <f t="shared" ref="E44:Q44" si="9">SUM(E35:E43)</f>
        <v>375300</v>
      </c>
      <c r="F44" s="14">
        <f t="shared" si="9"/>
        <v>368000</v>
      </c>
      <c r="G44" s="14">
        <f t="shared" si="9"/>
        <v>368000</v>
      </c>
      <c r="H44" s="14">
        <f t="shared" si="9"/>
        <v>218000</v>
      </c>
      <c r="I44" s="14">
        <f t="shared" si="9"/>
        <v>368000</v>
      </c>
      <c r="J44" s="14">
        <f t="shared" si="9"/>
        <v>218000</v>
      </c>
      <c r="K44" s="14">
        <f t="shared" si="9"/>
        <v>218000</v>
      </c>
      <c r="L44" s="14">
        <f t="shared" si="9"/>
        <v>200000</v>
      </c>
      <c r="M44" s="14">
        <f t="shared" si="9"/>
        <v>200000</v>
      </c>
      <c r="N44" s="14">
        <f t="shared" si="9"/>
        <v>218000</v>
      </c>
      <c r="O44" s="14">
        <f t="shared" si="9"/>
        <v>218000</v>
      </c>
      <c r="P44" s="43"/>
      <c r="Q44" s="14">
        <f t="shared" si="9"/>
        <v>3337300</v>
      </c>
      <c r="R44" s="5"/>
      <c r="S44" s="5"/>
      <c r="T44" s="5"/>
      <c r="U44" s="5"/>
      <c r="V44" s="5"/>
      <c r="W44" s="5"/>
      <c r="X44" s="5"/>
      <c r="Y44" s="5"/>
    </row>
    <row r="45" spans="1:25" ht="19.899999999999999" customHeight="1" x14ac:dyDescent="0.5">
      <c r="A45" s="5"/>
      <c r="B45" s="45"/>
      <c r="C45" s="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5"/>
      <c r="Q45" s="45"/>
      <c r="R45" s="5"/>
      <c r="S45" s="5"/>
      <c r="T45" s="5"/>
      <c r="U45" s="5"/>
      <c r="V45" s="5"/>
      <c r="W45" s="5"/>
      <c r="X45" s="5"/>
      <c r="Y45" s="5"/>
    </row>
    <row r="46" spans="1:25" ht="19.899999999999999" customHeight="1" x14ac:dyDescent="0.5">
      <c r="A46" s="5"/>
      <c r="B46" s="46" t="s">
        <v>51</v>
      </c>
      <c r="C46" s="27" t="s">
        <v>5</v>
      </c>
      <c r="D46" s="27" t="s">
        <v>6</v>
      </c>
      <c r="E46" s="27" t="s">
        <v>7</v>
      </c>
      <c r="F46" s="27" t="s">
        <v>8</v>
      </c>
      <c r="G46" s="27" t="s">
        <v>9</v>
      </c>
      <c r="H46" s="27" t="s">
        <v>10</v>
      </c>
      <c r="I46" s="27" t="s">
        <v>11</v>
      </c>
      <c r="J46" s="27" t="s">
        <v>12</v>
      </c>
      <c r="K46" s="27" t="s">
        <v>13</v>
      </c>
      <c r="L46" s="27" t="s">
        <v>14</v>
      </c>
      <c r="M46" s="27" t="s">
        <v>15</v>
      </c>
      <c r="N46" s="27" t="s">
        <v>16</v>
      </c>
      <c r="O46" s="27" t="s">
        <v>17</v>
      </c>
      <c r="P46" s="5"/>
      <c r="Q46" s="27" t="s">
        <v>18</v>
      </c>
      <c r="R46" s="5"/>
      <c r="S46" s="5"/>
      <c r="T46" s="5"/>
      <c r="U46" s="5"/>
      <c r="V46" s="5"/>
      <c r="W46" s="5"/>
      <c r="X46" s="5"/>
      <c r="Y46" s="5"/>
    </row>
    <row r="47" spans="1:25" ht="19.899999999999999" customHeight="1" x14ac:dyDescent="0.5">
      <c r="A47" s="5"/>
      <c r="B47" s="28" t="s">
        <v>52</v>
      </c>
      <c r="C47" s="29"/>
      <c r="D47" s="30">
        <v>0</v>
      </c>
      <c r="E47" s="30">
        <v>6300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5"/>
      <c r="Q47" s="30">
        <f>SUM(D47:O47)</f>
        <v>6300</v>
      </c>
      <c r="R47" s="5"/>
      <c r="S47" s="5"/>
      <c r="T47" s="5"/>
      <c r="U47" s="5"/>
      <c r="V47" s="5"/>
      <c r="W47" s="5"/>
      <c r="X47" s="5"/>
      <c r="Y47" s="5"/>
    </row>
    <row r="48" spans="1:25" ht="19.899999999999999" customHeight="1" x14ac:dyDescent="0.5">
      <c r="A48" s="5"/>
      <c r="B48" s="28" t="s">
        <v>53</v>
      </c>
      <c r="C48" s="29"/>
      <c r="D48" s="30">
        <v>0</v>
      </c>
      <c r="E48" s="30">
        <v>0</v>
      </c>
      <c r="F48" s="30">
        <v>0</v>
      </c>
      <c r="G48" s="30">
        <v>0</v>
      </c>
      <c r="H48" s="30">
        <v>0</v>
      </c>
      <c r="I48" s="30">
        <v>0</v>
      </c>
      <c r="J48" s="30">
        <v>0</v>
      </c>
      <c r="K48" s="30">
        <v>0</v>
      </c>
      <c r="L48" s="30">
        <v>0</v>
      </c>
      <c r="M48" s="30">
        <v>0</v>
      </c>
      <c r="N48" s="30">
        <v>0</v>
      </c>
      <c r="O48" s="30">
        <v>0</v>
      </c>
      <c r="P48" s="5"/>
      <c r="Q48" s="30">
        <f t="shared" ref="Q48:Q51" si="10">SUM(D48:O48)</f>
        <v>0</v>
      </c>
      <c r="R48" s="5"/>
      <c r="S48" s="5"/>
      <c r="T48" s="5"/>
      <c r="U48" s="5"/>
      <c r="V48" s="5"/>
      <c r="W48" s="5"/>
      <c r="X48" s="5"/>
      <c r="Y48" s="5"/>
    </row>
    <row r="49" spans="1:25" ht="19.899999999999999" customHeight="1" x14ac:dyDescent="0.5">
      <c r="A49" s="5"/>
      <c r="B49" s="28" t="s">
        <v>54</v>
      </c>
      <c r="C49" s="29"/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5"/>
      <c r="Q49" s="30">
        <f t="shared" si="10"/>
        <v>0</v>
      </c>
      <c r="R49" s="5"/>
      <c r="S49" s="5"/>
      <c r="T49" s="5"/>
      <c r="U49" s="5"/>
      <c r="V49" s="5"/>
      <c r="W49" s="5"/>
      <c r="X49" s="5"/>
      <c r="Y49" s="5"/>
    </row>
    <row r="50" spans="1:25" ht="19.899999999999999" customHeight="1" x14ac:dyDescent="0.5">
      <c r="A50" s="5"/>
      <c r="B50" s="28" t="s">
        <v>49</v>
      </c>
      <c r="C50" s="29"/>
      <c r="D50" s="30">
        <v>0</v>
      </c>
      <c r="E50" s="30">
        <v>0</v>
      </c>
      <c r="F50" s="30">
        <v>0</v>
      </c>
      <c r="G50" s="30">
        <v>0</v>
      </c>
      <c r="H50" s="30">
        <v>0</v>
      </c>
      <c r="I50" s="30">
        <v>0</v>
      </c>
      <c r="J50" s="30">
        <v>0</v>
      </c>
      <c r="K50" s="30">
        <v>0</v>
      </c>
      <c r="L50" s="30">
        <v>0</v>
      </c>
      <c r="M50" s="30">
        <v>0</v>
      </c>
      <c r="N50" s="30">
        <v>0</v>
      </c>
      <c r="O50" s="30">
        <v>0</v>
      </c>
      <c r="P50" s="5"/>
      <c r="Q50" s="30">
        <f t="shared" si="10"/>
        <v>0</v>
      </c>
      <c r="R50" s="5"/>
      <c r="S50" s="5"/>
      <c r="T50" s="5"/>
      <c r="U50" s="5"/>
      <c r="V50" s="5"/>
      <c r="W50" s="5"/>
      <c r="X50" s="5"/>
      <c r="Y50" s="5"/>
    </row>
    <row r="51" spans="1:25" ht="19.899999999999999" customHeight="1" x14ac:dyDescent="0.5">
      <c r="A51" s="5"/>
      <c r="B51" s="28" t="s">
        <v>49</v>
      </c>
      <c r="C51" s="29"/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5"/>
      <c r="Q51" s="30">
        <f t="shared" si="10"/>
        <v>0</v>
      </c>
      <c r="R51" s="5"/>
      <c r="S51" s="5"/>
      <c r="T51" s="5"/>
      <c r="U51" s="5"/>
      <c r="V51" s="5"/>
      <c r="W51" s="5"/>
      <c r="X51" s="5"/>
      <c r="Y51" s="5"/>
    </row>
    <row r="52" spans="1:25" ht="19.899999999999999" customHeight="1" x14ac:dyDescent="0.5">
      <c r="A52" s="5"/>
      <c r="B52" s="31"/>
      <c r="C52" s="13"/>
      <c r="D52" s="14">
        <f>SUM(D47:D51)</f>
        <v>0</v>
      </c>
      <c r="E52" s="14">
        <f t="shared" ref="E52:Q52" si="11">SUM(E47:E51)</f>
        <v>6300</v>
      </c>
      <c r="F52" s="14">
        <f t="shared" si="11"/>
        <v>0</v>
      </c>
      <c r="G52" s="14">
        <f t="shared" si="11"/>
        <v>0</v>
      </c>
      <c r="H52" s="14">
        <f t="shared" si="11"/>
        <v>0</v>
      </c>
      <c r="I52" s="14">
        <f t="shared" si="11"/>
        <v>0</v>
      </c>
      <c r="J52" s="14">
        <f t="shared" si="11"/>
        <v>0</v>
      </c>
      <c r="K52" s="14">
        <f t="shared" si="11"/>
        <v>0</v>
      </c>
      <c r="L52" s="14">
        <f t="shared" si="11"/>
        <v>0</v>
      </c>
      <c r="M52" s="14">
        <f t="shared" si="11"/>
        <v>0</v>
      </c>
      <c r="N52" s="14">
        <f t="shared" si="11"/>
        <v>0</v>
      </c>
      <c r="O52" s="14">
        <f t="shared" si="11"/>
        <v>0</v>
      </c>
      <c r="P52" s="5"/>
      <c r="Q52" s="14">
        <f t="shared" si="11"/>
        <v>6300</v>
      </c>
      <c r="R52" s="5"/>
      <c r="S52" s="5"/>
      <c r="T52" s="5"/>
      <c r="U52" s="5"/>
      <c r="V52" s="5"/>
      <c r="W52" s="5"/>
      <c r="X52" s="5"/>
      <c r="Y52" s="5"/>
    </row>
    <row r="53" spans="1:25" ht="19.899999999999999" customHeight="1" x14ac:dyDescent="0.5">
      <c r="A53" s="5"/>
      <c r="B53" s="45"/>
      <c r="C53" s="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5"/>
      <c r="Q53" s="45"/>
      <c r="R53" s="5"/>
      <c r="S53" s="5"/>
      <c r="T53" s="5"/>
      <c r="U53" s="5"/>
      <c r="V53" s="5"/>
      <c r="W53" s="5"/>
      <c r="X53" s="5"/>
      <c r="Y53" s="5"/>
    </row>
    <row r="54" spans="1:25" ht="19.899999999999999" customHeight="1" x14ac:dyDescent="0.5">
      <c r="A54" s="5"/>
      <c r="B54" s="46" t="s">
        <v>55</v>
      </c>
      <c r="C54" s="27" t="s">
        <v>5</v>
      </c>
      <c r="D54" s="27" t="s">
        <v>6</v>
      </c>
      <c r="E54" s="27" t="s">
        <v>7</v>
      </c>
      <c r="F54" s="27" t="s">
        <v>8</v>
      </c>
      <c r="G54" s="27" t="s">
        <v>9</v>
      </c>
      <c r="H54" s="27" t="s">
        <v>10</v>
      </c>
      <c r="I54" s="27" t="s">
        <v>11</v>
      </c>
      <c r="J54" s="27" t="s">
        <v>12</v>
      </c>
      <c r="K54" s="27" t="s">
        <v>13</v>
      </c>
      <c r="L54" s="27" t="s">
        <v>14</v>
      </c>
      <c r="M54" s="27" t="s">
        <v>15</v>
      </c>
      <c r="N54" s="27" t="s">
        <v>16</v>
      </c>
      <c r="O54" s="27" t="s">
        <v>17</v>
      </c>
      <c r="P54" s="5"/>
      <c r="Q54" s="27" t="s">
        <v>18</v>
      </c>
      <c r="R54" s="5"/>
      <c r="S54" s="5"/>
      <c r="T54" s="5"/>
      <c r="U54" s="5"/>
      <c r="V54" s="5"/>
      <c r="W54" s="5"/>
      <c r="X54" s="5"/>
      <c r="Y54" s="5"/>
    </row>
    <row r="55" spans="1:25" ht="19.899999999999999" customHeight="1" x14ac:dyDescent="0.5">
      <c r="A55" s="5"/>
      <c r="B55" s="28" t="s">
        <v>56</v>
      </c>
      <c r="C55" s="29"/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5"/>
      <c r="Q55" s="30">
        <f>SUM(D55:O55)</f>
        <v>0</v>
      </c>
      <c r="R55" s="5"/>
      <c r="S55" s="5"/>
      <c r="T55" s="5"/>
      <c r="U55" s="5"/>
      <c r="V55" s="5"/>
      <c r="W55" s="5"/>
      <c r="X55" s="5"/>
      <c r="Y55" s="5"/>
    </row>
    <row r="56" spans="1:25" ht="19.899999999999999" customHeight="1" x14ac:dyDescent="0.5">
      <c r="A56" s="5"/>
      <c r="B56" s="28" t="s">
        <v>57</v>
      </c>
      <c r="C56" s="29"/>
      <c r="D56" s="30">
        <v>0</v>
      </c>
      <c r="E56" s="30">
        <v>0</v>
      </c>
      <c r="F56" s="30">
        <v>0</v>
      </c>
      <c r="G56" s="30">
        <v>0</v>
      </c>
      <c r="H56" s="30">
        <v>0</v>
      </c>
      <c r="I56" s="30">
        <v>0</v>
      </c>
      <c r="J56" s="30">
        <v>0</v>
      </c>
      <c r="K56" s="30">
        <v>0</v>
      </c>
      <c r="L56" s="30">
        <v>0</v>
      </c>
      <c r="M56" s="30">
        <v>0</v>
      </c>
      <c r="N56" s="30">
        <v>0</v>
      </c>
      <c r="O56" s="30">
        <v>0</v>
      </c>
      <c r="P56" s="5"/>
      <c r="Q56" s="30">
        <f t="shared" ref="Q56:Q60" si="12">SUM(D56:O56)</f>
        <v>0</v>
      </c>
      <c r="R56" s="5"/>
      <c r="S56" s="5"/>
      <c r="T56" s="5"/>
      <c r="U56" s="5"/>
      <c r="V56" s="5"/>
      <c r="W56" s="5"/>
      <c r="X56" s="5"/>
      <c r="Y56" s="5"/>
    </row>
    <row r="57" spans="1:25" ht="19.899999999999999" customHeight="1" x14ac:dyDescent="0.5">
      <c r="A57" s="5"/>
      <c r="B57" s="28" t="s">
        <v>58</v>
      </c>
      <c r="C57" s="29"/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5"/>
      <c r="Q57" s="30">
        <f t="shared" si="12"/>
        <v>0</v>
      </c>
      <c r="R57" s="5"/>
      <c r="S57" s="5"/>
      <c r="T57" s="5"/>
      <c r="U57" s="5"/>
      <c r="V57" s="5"/>
      <c r="W57" s="5"/>
      <c r="X57" s="5"/>
      <c r="Y57" s="5"/>
    </row>
    <row r="58" spans="1:25" ht="19.899999999999999" customHeight="1" x14ac:dyDescent="0.5">
      <c r="A58" s="5"/>
      <c r="B58" s="28" t="s">
        <v>59</v>
      </c>
      <c r="C58" s="29"/>
      <c r="D58" s="30">
        <v>0</v>
      </c>
      <c r="E58" s="30">
        <v>0</v>
      </c>
      <c r="F58" s="30">
        <v>0</v>
      </c>
      <c r="G58" s="30">
        <v>0</v>
      </c>
      <c r="H58" s="30">
        <v>0</v>
      </c>
      <c r="I58" s="30">
        <v>0</v>
      </c>
      <c r="J58" s="30">
        <v>0</v>
      </c>
      <c r="K58" s="30">
        <v>0</v>
      </c>
      <c r="L58" s="30">
        <v>0</v>
      </c>
      <c r="M58" s="30">
        <v>0</v>
      </c>
      <c r="N58" s="30">
        <v>0</v>
      </c>
      <c r="O58" s="30">
        <v>0</v>
      </c>
      <c r="P58" s="5"/>
      <c r="Q58" s="30">
        <f t="shared" si="12"/>
        <v>0</v>
      </c>
      <c r="R58" s="5"/>
      <c r="S58" s="5"/>
      <c r="T58" s="5"/>
      <c r="U58" s="5"/>
      <c r="V58" s="5"/>
      <c r="W58" s="5"/>
      <c r="X58" s="5"/>
      <c r="Y58" s="5"/>
    </row>
    <row r="59" spans="1:25" ht="19.899999999999999" customHeight="1" x14ac:dyDescent="0.5">
      <c r="A59" s="5"/>
      <c r="B59" s="28" t="s">
        <v>60</v>
      </c>
      <c r="C59" s="29"/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5"/>
      <c r="Q59" s="30">
        <f t="shared" si="12"/>
        <v>0</v>
      </c>
      <c r="R59" s="5"/>
      <c r="S59" s="5"/>
      <c r="T59" s="5"/>
      <c r="U59" s="5"/>
      <c r="V59" s="5"/>
      <c r="W59" s="5"/>
      <c r="X59" s="5"/>
      <c r="Y59" s="5"/>
    </row>
    <row r="60" spans="1:25" ht="19.899999999999999" customHeight="1" x14ac:dyDescent="0.5">
      <c r="A60" s="5"/>
      <c r="B60" s="28" t="s">
        <v>49</v>
      </c>
      <c r="C60" s="29"/>
      <c r="D60" s="30">
        <v>0</v>
      </c>
      <c r="E60" s="30">
        <v>0</v>
      </c>
      <c r="F60" s="30">
        <v>0</v>
      </c>
      <c r="G60" s="30">
        <v>0</v>
      </c>
      <c r="H60" s="30">
        <v>0</v>
      </c>
      <c r="I60" s="30">
        <v>0</v>
      </c>
      <c r="J60" s="30">
        <v>0</v>
      </c>
      <c r="K60" s="30">
        <v>0</v>
      </c>
      <c r="L60" s="30">
        <v>0</v>
      </c>
      <c r="M60" s="30">
        <v>0</v>
      </c>
      <c r="N60" s="30">
        <v>0</v>
      </c>
      <c r="O60" s="30">
        <v>0</v>
      </c>
      <c r="P60" s="5"/>
      <c r="Q60" s="30">
        <f t="shared" si="12"/>
        <v>0</v>
      </c>
      <c r="R60" s="5"/>
      <c r="S60" s="5"/>
      <c r="T60" s="5"/>
      <c r="U60" s="5"/>
      <c r="V60" s="5"/>
      <c r="W60" s="5"/>
      <c r="X60" s="5"/>
      <c r="Y60" s="5"/>
    </row>
    <row r="61" spans="1:25" ht="19.899999999999999" customHeight="1" x14ac:dyDescent="0.5">
      <c r="A61" s="5"/>
      <c r="B61" s="31" t="s">
        <v>61</v>
      </c>
      <c r="C61" s="13"/>
      <c r="D61" s="14">
        <f>SUM(D55:D60)</f>
        <v>0</v>
      </c>
      <c r="E61" s="14">
        <f t="shared" ref="E61:Q61" si="13">SUM(E55:E60)</f>
        <v>0</v>
      </c>
      <c r="F61" s="14">
        <f t="shared" si="13"/>
        <v>0</v>
      </c>
      <c r="G61" s="14">
        <f t="shared" si="13"/>
        <v>0</v>
      </c>
      <c r="H61" s="14">
        <f t="shared" si="13"/>
        <v>0</v>
      </c>
      <c r="I61" s="14">
        <f t="shared" si="13"/>
        <v>0</v>
      </c>
      <c r="J61" s="14">
        <f t="shared" si="13"/>
        <v>0</v>
      </c>
      <c r="K61" s="14">
        <f t="shared" si="13"/>
        <v>0</v>
      </c>
      <c r="L61" s="14">
        <f t="shared" si="13"/>
        <v>0</v>
      </c>
      <c r="M61" s="14">
        <f t="shared" si="13"/>
        <v>0</v>
      </c>
      <c r="N61" s="14">
        <f t="shared" si="13"/>
        <v>0</v>
      </c>
      <c r="O61" s="14">
        <f t="shared" si="13"/>
        <v>0</v>
      </c>
      <c r="P61" s="5"/>
      <c r="Q61" s="14">
        <f t="shared" si="13"/>
        <v>0</v>
      </c>
      <c r="R61" s="5"/>
      <c r="S61" s="5"/>
      <c r="T61" s="5"/>
      <c r="U61" s="5"/>
      <c r="V61" s="5"/>
      <c r="W61" s="5"/>
      <c r="X61" s="5"/>
      <c r="Y61" s="5"/>
    </row>
    <row r="62" spans="1:25" ht="19.899999999999999" customHeight="1" x14ac:dyDescent="0.5">
      <c r="A62" s="5"/>
      <c r="B62" s="45"/>
      <c r="C62" s="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5"/>
      <c r="Q62" s="45"/>
      <c r="R62" s="5"/>
      <c r="S62" s="5"/>
      <c r="T62" s="5"/>
      <c r="U62" s="5"/>
      <c r="V62" s="5"/>
      <c r="W62" s="5"/>
      <c r="X62" s="5"/>
      <c r="Y62" s="5"/>
    </row>
    <row r="63" spans="1:25" ht="19.899999999999999" customHeight="1" x14ac:dyDescent="0.5">
      <c r="A63" s="5"/>
      <c r="B63" s="46" t="s">
        <v>62</v>
      </c>
      <c r="C63" s="27" t="s">
        <v>5</v>
      </c>
      <c r="D63" s="27" t="s">
        <v>6</v>
      </c>
      <c r="E63" s="27" t="s">
        <v>7</v>
      </c>
      <c r="F63" s="27" t="s">
        <v>8</v>
      </c>
      <c r="G63" s="27" t="s">
        <v>9</v>
      </c>
      <c r="H63" s="27" t="s">
        <v>10</v>
      </c>
      <c r="I63" s="27" t="s">
        <v>11</v>
      </c>
      <c r="J63" s="27" t="s">
        <v>12</v>
      </c>
      <c r="K63" s="27" t="s">
        <v>13</v>
      </c>
      <c r="L63" s="27" t="s">
        <v>14</v>
      </c>
      <c r="M63" s="27" t="s">
        <v>15</v>
      </c>
      <c r="N63" s="27" t="s">
        <v>16</v>
      </c>
      <c r="O63" s="27" t="s">
        <v>17</v>
      </c>
      <c r="P63" s="5"/>
      <c r="Q63" s="27" t="s">
        <v>18</v>
      </c>
      <c r="R63" s="5"/>
      <c r="S63" s="5"/>
      <c r="T63" s="5"/>
      <c r="U63" s="5"/>
      <c r="V63" s="5"/>
      <c r="W63" s="5"/>
      <c r="X63" s="5"/>
      <c r="Y63" s="5"/>
    </row>
    <row r="64" spans="1:25" ht="19.899999999999999" customHeight="1" x14ac:dyDescent="0.5">
      <c r="A64" s="5"/>
      <c r="B64" s="28" t="s">
        <v>63</v>
      </c>
      <c r="C64" s="29"/>
      <c r="D64" s="30">
        <v>35700</v>
      </c>
      <c r="E64" s="30">
        <v>35700</v>
      </c>
      <c r="F64" s="30">
        <v>35700</v>
      </c>
      <c r="G64" s="30">
        <v>35700</v>
      </c>
      <c r="H64" s="30">
        <v>35700</v>
      </c>
      <c r="I64" s="30">
        <v>35700</v>
      </c>
      <c r="J64" s="30">
        <v>35700</v>
      </c>
      <c r="K64" s="30">
        <v>35700</v>
      </c>
      <c r="L64" s="30">
        <v>35700</v>
      </c>
      <c r="M64" s="30">
        <v>35700</v>
      </c>
      <c r="N64" s="30">
        <v>35700</v>
      </c>
      <c r="O64" s="30">
        <v>35700</v>
      </c>
      <c r="P64" s="5"/>
      <c r="Q64" s="30">
        <f>SUM(D64:O64)</f>
        <v>428400</v>
      </c>
      <c r="R64" s="5"/>
      <c r="S64" s="5"/>
      <c r="T64" s="5"/>
      <c r="U64" s="5"/>
      <c r="V64" s="5"/>
      <c r="W64" s="5"/>
      <c r="X64" s="5"/>
      <c r="Y64" s="5"/>
    </row>
    <row r="65" spans="1:25" ht="19.899999999999999" customHeight="1" x14ac:dyDescent="0.5">
      <c r="A65" s="5"/>
      <c r="B65" s="28" t="s">
        <v>64</v>
      </c>
      <c r="C65" s="29"/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5"/>
      <c r="Q65" s="30">
        <f t="shared" ref="Q65:Q81" si="14">SUM(D65:O65)</f>
        <v>0</v>
      </c>
      <c r="R65" s="5"/>
      <c r="S65" s="5"/>
      <c r="T65" s="5"/>
      <c r="U65" s="5"/>
      <c r="V65" s="5"/>
      <c r="W65" s="5"/>
      <c r="X65" s="5"/>
      <c r="Y65" s="5"/>
    </row>
    <row r="66" spans="1:25" ht="19.899999999999999" customHeight="1" x14ac:dyDescent="0.5">
      <c r="A66" s="5"/>
      <c r="B66" s="28" t="s">
        <v>65</v>
      </c>
      <c r="C66" s="29"/>
      <c r="D66" s="30">
        <v>2500</v>
      </c>
      <c r="E66" s="30">
        <v>2500</v>
      </c>
      <c r="F66" s="30">
        <v>2500</v>
      </c>
      <c r="G66" s="30">
        <v>2500</v>
      </c>
      <c r="H66" s="30">
        <v>2500</v>
      </c>
      <c r="I66" s="30">
        <v>2500</v>
      </c>
      <c r="J66" s="30">
        <v>2500</v>
      </c>
      <c r="K66" s="30">
        <v>2500</v>
      </c>
      <c r="L66" s="30">
        <v>2500</v>
      </c>
      <c r="M66" s="30">
        <v>2500</v>
      </c>
      <c r="N66" s="30">
        <v>2500</v>
      </c>
      <c r="O66" s="30">
        <v>2500</v>
      </c>
      <c r="P66" s="5"/>
      <c r="Q66" s="30">
        <f t="shared" si="14"/>
        <v>30000</v>
      </c>
      <c r="R66" s="5"/>
      <c r="S66" s="5"/>
      <c r="T66" s="5"/>
      <c r="U66" s="5"/>
      <c r="V66" s="5"/>
      <c r="W66" s="5"/>
      <c r="X66" s="5"/>
      <c r="Y66" s="5"/>
    </row>
    <row r="67" spans="1:25" ht="19.899999999999999" customHeight="1" x14ac:dyDescent="0.5">
      <c r="A67" s="5"/>
      <c r="B67" s="28" t="s">
        <v>66</v>
      </c>
      <c r="C67" s="29"/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5"/>
      <c r="Q67" s="30">
        <f t="shared" si="14"/>
        <v>0</v>
      </c>
      <c r="R67" s="5"/>
      <c r="S67" s="5"/>
      <c r="T67" s="5"/>
      <c r="U67" s="5"/>
      <c r="V67" s="5"/>
      <c r="W67" s="5"/>
      <c r="X67" s="5"/>
      <c r="Y67" s="5"/>
    </row>
    <row r="68" spans="1:25" ht="19.899999999999999" customHeight="1" x14ac:dyDescent="0.5">
      <c r="A68" s="5"/>
      <c r="B68" s="28" t="s">
        <v>67</v>
      </c>
      <c r="C68" s="29"/>
      <c r="D68" s="30">
        <v>1500</v>
      </c>
      <c r="E68" s="30">
        <v>1500</v>
      </c>
      <c r="F68" s="30">
        <v>1500</v>
      </c>
      <c r="G68" s="30">
        <v>1500</v>
      </c>
      <c r="H68" s="30">
        <v>1500</v>
      </c>
      <c r="I68" s="30">
        <v>1500</v>
      </c>
      <c r="J68" s="30">
        <v>1500</v>
      </c>
      <c r="K68" s="30">
        <v>1500</v>
      </c>
      <c r="L68" s="30">
        <v>1500</v>
      </c>
      <c r="M68" s="30">
        <v>1500</v>
      </c>
      <c r="N68" s="30">
        <v>1500</v>
      </c>
      <c r="O68" s="30">
        <v>1500</v>
      </c>
      <c r="P68" s="5"/>
      <c r="Q68" s="30">
        <f t="shared" si="14"/>
        <v>18000</v>
      </c>
      <c r="R68" s="5"/>
      <c r="S68" s="5"/>
      <c r="T68" s="5"/>
      <c r="U68" s="5"/>
      <c r="V68" s="5"/>
      <c r="W68" s="5"/>
      <c r="X68" s="5"/>
      <c r="Y68" s="5"/>
    </row>
    <row r="69" spans="1:25" ht="19.899999999999999" customHeight="1" x14ac:dyDescent="0.5">
      <c r="A69" s="5"/>
      <c r="B69" s="28" t="s">
        <v>68</v>
      </c>
      <c r="C69" s="29"/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5"/>
      <c r="Q69" s="30">
        <f t="shared" si="14"/>
        <v>0</v>
      </c>
      <c r="R69" s="5"/>
      <c r="S69" s="5"/>
      <c r="T69" s="5"/>
      <c r="U69" s="5"/>
      <c r="V69" s="5"/>
      <c r="W69" s="5"/>
      <c r="X69" s="5"/>
      <c r="Y69" s="5"/>
    </row>
    <row r="70" spans="1:25" ht="19.899999999999999" customHeight="1" x14ac:dyDescent="0.5">
      <c r="A70" s="5"/>
      <c r="B70" s="28" t="s">
        <v>69</v>
      </c>
      <c r="C70" s="29"/>
      <c r="D70" s="30">
        <v>0</v>
      </c>
      <c r="E70" s="30">
        <v>0</v>
      </c>
      <c r="F70" s="30">
        <v>0</v>
      </c>
      <c r="G70" s="30">
        <v>0</v>
      </c>
      <c r="H70" s="30">
        <v>0</v>
      </c>
      <c r="I70" s="30">
        <v>0</v>
      </c>
      <c r="J70" s="30">
        <v>0</v>
      </c>
      <c r="K70" s="30">
        <v>0</v>
      </c>
      <c r="L70" s="30">
        <v>0</v>
      </c>
      <c r="M70" s="30">
        <v>0</v>
      </c>
      <c r="N70" s="30">
        <v>0</v>
      </c>
      <c r="O70" s="30">
        <v>0</v>
      </c>
      <c r="P70" s="5"/>
      <c r="Q70" s="30">
        <f t="shared" si="14"/>
        <v>0</v>
      </c>
      <c r="R70" s="5"/>
      <c r="S70" s="5"/>
      <c r="T70" s="5"/>
      <c r="U70" s="5"/>
      <c r="V70" s="5"/>
      <c r="W70" s="5"/>
      <c r="X70" s="5"/>
      <c r="Y70" s="5"/>
    </row>
    <row r="71" spans="1:25" ht="19.899999999999999" customHeight="1" x14ac:dyDescent="0.5">
      <c r="A71" s="5"/>
      <c r="B71" s="28" t="s">
        <v>70</v>
      </c>
      <c r="C71" s="29"/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5"/>
      <c r="Q71" s="30">
        <f t="shared" si="14"/>
        <v>0</v>
      </c>
      <c r="R71" s="5"/>
      <c r="S71" s="5"/>
      <c r="T71" s="5"/>
      <c r="U71" s="5"/>
      <c r="V71" s="5"/>
      <c r="W71" s="5"/>
      <c r="X71" s="5"/>
      <c r="Y71" s="5"/>
    </row>
    <row r="72" spans="1:25" ht="19.899999999999999" customHeight="1" x14ac:dyDescent="0.5">
      <c r="A72" s="5"/>
      <c r="B72" s="28" t="s">
        <v>71</v>
      </c>
      <c r="C72" s="29"/>
      <c r="D72" s="30">
        <v>0</v>
      </c>
      <c r="E72" s="30">
        <v>0</v>
      </c>
      <c r="F72" s="30">
        <v>0</v>
      </c>
      <c r="G72" s="30">
        <v>0</v>
      </c>
      <c r="H72" s="30">
        <v>0</v>
      </c>
      <c r="I72" s="30">
        <v>0</v>
      </c>
      <c r="J72" s="30">
        <v>0</v>
      </c>
      <c r="K72" s="30">
        <v>0</v>
      </c>
      <c r="L72" s="30">
        <v>0</v>
      </c>
      <c r="M72" s="30">
        <v>0</v>
      </c>
      <c r="N72" s="30">
        <v>0</v>
      </c>
      <c r="O72" s="30">
        <v>0</v>
      </c>
      <c r="P72" s="5"/>
      <c r="Q72" s="30">
        <f t="shared" si="14"/>
        <v>0</v>
      </c>
      <c r="R72" s="5"/>
      <c r="S72" s="5"/>
      <c r="T72" s="5"/>
      <c r="U72" s="5"/>
      <c r="V72" s="5"/>
      <c r="W72" s="5"/>
      <c r="X72" s="5"/>
      <c r="Y72" s="5"/>
    </row>
    <row r="73" spans="1:25" ht="19.899999999999999" customHeight="1" x14ac:dyDescent="0.5">
      <c r="A73" s="5"/>
      <c r="B73" s="28" t="s">
        <v>72</v>
      </c>
      <c r="C73" s="29"/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5"/>
      <c r="Q73" s="30">
        <f t="shared" si="14"/>
        <v>0</v>
      </c>
      <c r="R73" s="5"/>
      <c r="S73" s="5"/>
      <c r="T73" s="5"/>
      <c r="U73" s="5"/>
      <c r="V73" s="5"/>
      <c r="W73" s="5"/>
      <c r="X73" s="5"/>
      <c r="Y73" s="5"/>
    </row>
    <row r="74" spans="1:25" ht="19.899999999999999" customHeight="1" x14ac:dyDescent="0.5">
      <c r="A74" s="5"/>
      <c r="B74" s="28" t="s">
        <v>73</v>
      </c>
      <c r="C74" s="29"/>
      <c r="D74" s="30">
        <v>0</v>
      </c>
      <c r="E74" s="30">
        <v>0</v>
      </c>
      <c r="F74" s="30">
        <v>0</v>
      </c>
      <c r="G74" s="30">
        <v>0</v>
      </c>
      <c r="H74" s="30">
        <v>0</v>
      </c>
      <c r="I74" s="30">
        <v>0</v>
      </c>
      <c r="J74" s="30">
        <v>0</v>
      </c>
      <c r="K74" s="30">
        <v>0</v>
      </c>
      <c r="L74" s="30">
        <v>0</v>
      </c>
      <c r="M74" s="30">
        <v>0</v>
      </c>
      <c r="N74" s="30">
        <v>0</v>
      </c>
      <c r="O74" s="30">
        <v>0</v>
      </c>
      <c r="P74" s="5"/>
      <c r="Q74" s="30">
        <f t="shared" si="14"/>
        <v>0</v>
      </c>
      <c r="R74" s="5"/>
      <c r="S74" s="5"/>
      <c r="T74" s="5"/>
      <c r="U74" s="5"/>
      <c r="V74" s="5"/>
      <c r="W74" s="5"/>
      <c r="X74" s="5"/>
      <c r="Y74" s="5"/>
    </row>
    <row r="75" spans="1:25" ht="19.899999999999999" customHeight="1" x14ac:dyDescent="0.5">
      <c r="A75" s="5"/>
      <c r="B75" s="28" t="s">
        <v>74</v>
      </c>
      <c r="C75" s="29"/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5"/>
      <c r="Q75" s="30">
        <f t="shared" si="14"/>
        <v>0</v>
      </c>
      <c r="R75" s="5"/>
      <c r="S75" s="5"/>
      <c r="T75" s="5"/>
      <c r="U75" s="5"/>
      <c r="V75" s="5"/>
      <c r="W75" s="5"/>
      <c r="X75" s="5"/>
      <c r="Y75" s="5"/>
    </row>
    <row r="76" spans="1:25" ht="19.899999999999999" customHeight="1" x14ac:dyDescent="0.5">
      <c r="A76" s="5"/>
      <c r="B76" s="28" t="s">
        <v>75</v>
      </c>
      <c r="C76" s="29"/>
      <c r="D76" s="30">
        <v>0</v>
      </c>
      <c r="E76" s="30">
        <v>0</v>
      </c>
      <c r="F76" s="30">
        <v>0</v>
      </c>
      <c r="G76" s="30">
        <v>0</v>
      </c>
      <c r="H76" s="30">
        <v>0</v>
      </c>
      <c r="I76" s="30">
        <v>0</v>
      </c>
      <c r="J76" s="30">
        <v>0</v>
      </c>
      <c r="K76" s="30">
        <v>0</v>
      </c>
      <c r="L76" s="30">
        <v>0</v>
      </c>
      <c r="M76" s="30">
        <v>0</v>
      </c>
      <c r="N76" s="30">
        <v>0</v>
      </c>
      <c r="O76" s="30">
        <v>0</v>
      </c>
      <c r="P76" s="5"/>
      <c r="Q76" s="30">
        <f t="shared" si="14"/>
        <v>0</v>
      </c>
      <c r="R76" s="5"/>
      <c r="S76" s="5"/>
      <c r="T76" s="5"/>
      <c r="U76" s="5"/>
      <c r="V76" s="5"/>
      <c r="W76" s="5"/>
      <c r="X76" s="5"/>
      <c r="Y76" s="5"/>
    </row>
    <row r="77" spans="1:25" ht="19.899999999999999" customHeight="1" x14ac:dyDescent="0.5">
      <c r="A77" s="5"/>
      <c r="B77" s="28" t="s">
        <v>76</v>
      </c>
      <c r="C77" s="29"/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5"/>
      <c r="Q77" s="30">
        <f t="shared" si="14"/>
        <v>0</v>
      </c>
      <c r="R77" s="5"/>
      <c r="S77" s="5"/>
      <c r="T77" s="5"/>
      <c r="U77" s="5"/>
      <c r="V77" s="5"/>
      <c r="W77" s="5"/>
      <c r="X77" s="5"/>
      <c r="Y77" s="5"/>
    </row>
    <row r="78" spans="1:25" ht="19.899999999999999" customHeight="1" x14ac:dyDescent="0.5">
      <c r="A78" s="5"/>
      <c r="B78" s="28" t="s">
        <v>77</v>
      </c>
      <c r="C78" s="29"/>
      <c r="D78" s="30">
        <v>0</v>
      </c>
      <c r="E78" s="30">
        <v>0</v>
      </c>
      <c r="F78" s="30">
        <v>0</v>
      </c>
      <c r="G78" s="30">
        <v>0</v>
      </c>
      <c r="H78" s="30">
        <v>0</v>
      </c>
      <c r="I78" s="30">
        <v>0</v>
      </c>
      <c r="J78" s="30">
        <v>0</v>
      </c>
      <c r="K78" s="30">
        <v>0</v>
      </c>
      <c r="L78" s="30">
        <v>0</v>
      </c>
      <c r="M78" s="30">
        <v>0</v>
      </c>
      <c r="N78" s="30">
        <v>0</v>
      </c>
      <c r="O78" s="30">
        <v>0</v>
      </c>
      <c r="P78" s="5"/>
      <c r="Q78" s="30">
        <f t="shared" si="14"/>
        <v>0</v>
      </c>
      <c r="R78" s="5"/>
      <c r="S78" s="5"/>
      <c r="T78" s="5"/>
      <c r="U78" s="5"/>
      <c r="V78" s="5"/>
      <c r="W78" s="5"/>
      <c r="X78" s="5"/>
      <c r="Y78" s="5"/>
    </row>
    <row r="79" spans="1:25" ht="19.899999999999999" customHeight="1" x14ac:dyDescent="0.5">
      <c r="A79" s="5"/>
      <c r="B79" s="28" t="s">
        <v>78</v>
      </c>
      <c r="C79" s="29"/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5"/>
      <c r="Q79" s="30">
        <f t="shared" si="14"/>
        <v>0</v>
      </c>
      <c r="R79" s="5"/>
      <c r="S79" s="5"/>
      <c r="T79" s="5"/>
      <c r="U79" s="5"/>
      <c r="V79" s="5"/>
      <c r="W79" s="5"/>
      <c r="X79" s="5"/>
      <c r="Y79" s="5"/>
    </row>
    <row r="80" spans="1:25" ht="19.899999999999999" customHeight="1" x14ac:dyDescent="0.5">
      <c r="A80" s="5"/>
      <c r="B80" s="28" t="s">
        <v>79</v>
      </c>
      <c r="C80" s="29"/>
      <c r="D80" s="30">
        <v>0</v>
      </c>
      <c r="E80" s="30">
        <v>0</v>
      </c>
      <c r="F80" s="30">
        <v>0</v>
      </c>
      <c r="G80" s="30">
        <v>0</v>
      </c>
      <c r="H80" s="30">
        <v>0</v>
      </c>
      <c r="I80" s="30">
        <v>0</v>
      </c>
      <c r="J80" s="30">
        <v>0</v>
      </c>
      <c r="K80" s="30">
        <v>0</v>
      </c>
      <c r="L80" s="30">
        <v>0</v>
      </c>
      <c r="M80" s="30">
        <v>0</v>
      </c>
      <c r="N80" s="30">
        <v>0</v>
      </c>
      <c r="O80" s="30">
        <v>0</v>
      </c>
      <c r="P80" s="5"/>
      <c r="Q80" s="30">
        <f t="shared" si="14"/>
        <v>0</v>
      </c>
      <c r="R80" s="5"/>
      <c r="S80" s="5"/>
      <c r="T80" s="5"/>
      <c r="U80" s="5"/>
      <c r="V80" s="5"/>
      <c r="W80" s="5"/>
      <c r="X80" s="5"/>
      <c r="Y80" s="5"/>
    </row>
    <row r="81" spans="1:25" ht="19.899999999999999" customHeight="1" x14ac:dyDescent="0.5">
      <c r="A81" s="5"/>
      <c r="B81" s="28" t="s">
        <v>49</v>
      </c>
      <c r="C81" s="29"/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5"/>
      <c r="Q81" s="30">
        <f t="shared" si="14"/>
        <v>0</v>
      </c>
      <c r="R81" s="5"/>
      <c r="S81" s="5"/>
      <c r="T81" s="5"/>
      <c r="U81" s="5"/>
      <c r="V81" s="5"/>
      <c r="W81" s="5"/>
      <c r="X81" s="5"/>
      <c r="Y81" s="5"/>
    </row>
    <row r="82" spans="1:25" ht="19.899999999999999" customHeight="1" x14ac:dyDescent="0.5">
      <c r="A82" s="5"/>
      <c r="B82" s="31" t="s">
        <v>80</v>
      </c>
      <c r="C82" s="13"/>
      <c r="D82" s="14">
        <f>SUM(D64:D81)</f>
        <v>39700</v>
      </c>
      <c r="E82" s="14">
        <f t="shared" ref="E82:Q82" si="15">SUM(E64:E81)</f>
        <v>39700</v>
      </c>
      <c r="F82" s="14">
        <f t="shared" si="15"/>
        <v>39700</v>
      </c>
      <c r="G82" s="14">
        <f t="shared" si="15"/>
        <v>39700</v>
      </c>
      <c r="H82" s="14">
        <f t="shared" si="15"/>
        <v>39700</v>
      </c>
      <c r="I82" s="14"/>
      <c r="J82" s="14">
        <f t="shared" si="15"/>
        <v>39700</v>
      </c>
      <c r="K82" s="14">
        <f t="shared" si="15"/>
        <v>39700</v>
      </c>
      <c r="L82" s="14">
        <f t="shared" si="15"/>
        <v>39700</v>
      </c>
      <c r="M82" s="14">
        <f t="shared" si="15"/>
        <v>39700</v>
      </c>
      <c r="N82" s="14">
        <f t="shared" si="15"/>
        <v>39700</v>
      </c>
      <c r="O82" s="14">
        <f t="shared" si="15"/>
        <v>39700</v>
      </c>
      <c r="P82" s="5"/>
      <c r="Q82" s="14">
        <f t="shared" si="15"/>
        <v>476400</v>
      </c>
      <c r="R82" s="5"/>
      <c r="S82" s="5"/>
      <c r="T82" s="5"/>
      <c r="U82" s="5"/>
      <c r="V82" s="5"/>
      <c r="W82" s="5"/>
      <c r="X82" s="5"/>
      <c r="Y82" s="5"/>
    </row>
    <row r="83" spans="1:25" ht="19.899999999999999" customHeight="1" x14ac:dyDescent="0.5">
      <c r="A83" s="5"/>
      <c r="B83" s="45"/>
      <c r="C83" s="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5"/>
      <c r="Q83" s="45"/>
      <c r="R83" s="5"/>
      <c r="S83" s="5"/>
      <c r="T83" s="5"/>
      <c r="U83" s="5"/>
      <c r="V83" s="5"/>
      <c r="W83" s="5"/>
      <c r="X83" s="5"/>
      <c r="Y83" s="5"/>
    </row>
    <row r="84" spans="1:25" ht="19.899999999999999" customHeight="1" x14ac:dyDescent="0.5">
      <c r="A84" s="5"/>
      <c r="B84" s="46" t="s">
        <v>81</v>
      </c>
      <c r="C84" s="27" t="s">
        <v>5</v>
      </c>
      <c r="D84" s="27" t="s">
        <v>6</v>
      </c>
      <c r="E84" s="27" t="s">
        <v>7</v>
      </c>
      <c r="F84" s="27" t="s">
        <v>8</v>
      </c>
      <c r="G84" s="27" t="s">
        <v>9</v>
      </c>
      <c r="H84" s="27" t="s">
        <v>10</v>
      </c>
      <c r="I84" s="27" t="s">
        <v>11</v>
      </c>
      <c r="J84" s="27" t="s">
        <v>12</v>
      </c>
      <c r="K84" s="27" t="s">
        <v>13</v>
      </c>
      <c r="L84" s="27" t="s">
        <v>14</v>
      </c>
      <c r="M84" s="27" t="s">
        <v>15</v>
      </c>
      <c r="N84" s="27" t="s">
        <v>16</v>
      </c>
      <c r="O84" s="27" t="s">
        <v>17</v>
      </c>
      <c r="P84" s="5"/>
      <c r="Q84" s="27" t="s">
        <v>18</v>
      </c>
      <c r="R84" s="5"/>
      <c r="S84" s="5"/>
      <c r="T84" s="5"/>
      <c r="U84" s="5"/>
      <c r="V84" s="5"/>
      <c r="W84" s="5"/>
      <c r="X84" s="5"/>
      <c r="Y84" s="5"/>
    </row>
    <row r="85" spans="1:25" ht="19.899999999999999" customHeight="1" x14ac:dyDescent="0.5">
      <c r="A85" s="5"/>
      <c r="B85" s="28" t="s">
        <v>82</v>
      </c>
      <c r="C85" s="29"/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5"/>
      <c r="Q85" s="30">
        <f>SUM(D85:O85)</f>
        <v>0</v>
      </c>
      <c r="R85" s="5"/>
      <c r="S85" s="5"/>
      <c r="T85" s="5"/>
      <c r="U85" s="5"/>
      <c r="V85" s="5"/>
      <c r="W85" s="5"/>
      <c r="X85" s="5"/>
      <c r="Y85" s="5"/>
    </row>
    <row r="86" spans="1:25" ht="19.899999999999999" customHeight="1" x14ac:dyDescent="0.5">
      <c r="A86" s="5"/>
      <c r="B86" s="28" t="s">
        <v>64</v>
      </c>
      <c r="C86" s="29"/>
      <c r="D86" s="30">
        <v>0</v>
      </c>
      <c r="E86" s="30">
        <v>0</v>
      </c>
      <c r="F86" s="30">
        <v>0</v>
      </c>
      <c r="G86" s="30">
        <v>0</v>
      </c>
      <c r="H86" s="30">
        <v>0</v>
      </c>
      <c r="I86" s="30">
        <v>0</v>
      </c>
      <c r="J86" s="30">
        <v>0</v>
      </c>
      <c r="K86" s="30">
        <v>0</v>
      </c>
      <c r="L86" s="30">
        <v>0</v>
      </c>
      <c r="M86" s="30">
        <v>0</v>
      </c>
      <c r="N86" s="30">
        <v>0</v>
      </c>
      <c r="O86" s="30">
        <v>0</v>
      </c>
      <c r="P86" s="5"/>
      <c r="Q86" s="30">
        <f t="shared" ref="Q86:Q89" si="16">SUM(D86:O86)</f>
        <v>0</v>
      </c>
      <c r="R86" s="5"/>
      <c r="S86" s="5"/>
      <c r="T86" s="5"/>
      <c r="U86" s="5"/>
      <c r="V86" s="5"/>
      <c r="W86" s="5"/>
      <c r="X86" s="5"/>
      <c r="Y86" s="5"/>
    </row>
    <row r="87" spans="1:25" ht="19.899999999999999" customHeight="1" x14ac:dyDescent="0.5">
      <c r="A87" s="5"/>
      <c r="B87" s="28" t="s">
        <v>83</v>
      </c>
      <c r="C87" s="29"/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5"/>
      <c r="Q87" s="30">
        <f t="shared" si="16"/>
        <v>0</v>
      </c>
      <c r="R87" s="5"/>
      <c r="S87" s="5"/>
      <c r="T87" s="5"/>
      <c r="U87" s="5"/>
      <c r="V87" s="5"/>
      <c r="W87" s="5"/>
      <c r="X87" s="5"/>
      <c r="Y87" s="5"/>
    </row>
    <row r="88" spans="1:25" ht="19.899999999999999" customHeight="1" x14ac:dyDescent="0.5">
      <c r="A88" s="5"/>
      <c r="B88" s="28" t="s">
        <v>59</v>
      </c>
      <c r="C88" s="29"/>
      <c r="D88" s="30">
        <v>0</v>
      </c>
      <c r="E88" s="30">
        <v>0</v>
      </c>
      <c r="F88" s="30">
        <v>0</v>
      </c>
      <c r="G88" s="30">
        <v>0</v>
      </c>
      <c r="H88" s="30">
        <v>0</v>
      </c>
      <c r="I88" s="30">
        <v>0</v>
      </c>
      <c r="J88" s="30">
        <v>0</v>
      </c>
      <c r="K88" s="30">
        <v>0</v>
      </c>
      <c r="L88" s="30">
        <v>0</v>
      </c>
      <c r="M88" s="30">
        <v>0</v>
      </c>
      <c r="N88" s="30">
        <v>0</v>
      </c>
      <c r="O88" s="30">
        <v>0</v>
      </c>
      <c r="P88" s="5"/>
      <c r="Q88" s="30">
        <f t="shared" si="16"/>
        <v>0</v>
      </c>
      <c r="R88" s="5"/>
      <c r="S88" s="5"/>
      <c r="T88" s="5"/>
      <c r="U88" s="5"/>
      <c r="V88" s="5"/>
      <c r="W88" s="5"/>
      <c r="X88" s="5"/>
      <c r="Y88" s="5"/>
    </row>
    <row r="89" spans="1:25" ht="19.899999999999999" customHeight="1" x14ac:dyDescent="0.5">
      <c r="A89" s="5"/>
      <c r="B89" s="28" t="s">
        <v>49</v>
      </c>
      <c r="C89" s="29"/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5"/>
      <c r="Q89" s="30">
        <f t="shared" si="16"/>
        <v>0</v>
      </c>
      <c r="R89" s="5"/>
      <c r="S89" s="5"/>
      <c r="T89" s="5"/>
      <c r="U89" s="5"/>
      <c r="V89" s="5"/>
      <c r="W89" s="5"/>
      <c r="X89" s="5"/>
      <c r="Y89" s="5"/>
    </row>
    <row r="90" spans="1:25" ht="19.899999999999999" customHeight="1" x14ac:dyDescent="0.5">
      <c r="A90" s="5"/>
      <c r="B90" s="31" t="s">
        <v>84</v>
      </c>
      <c r="C90" s="13"/>
      <c r="D90" s="14">
        <f>SUM(D85:D89)</f>
        <v>0</v>
      </c>
      <c r="E90" s="14">
        <f t="shared" ref="E90:Q90" si="17">SUM(E85:E89)</f>
        <v>0</v>
      </c>
      <c r="F90" s="14">
        <f t="shared" si="17"/>
        <v>0</v>
      </c>
      <c r="G90" s="14">
        <f t="shared" si="17"/>
        <v>0</v>
      </c>
      <c r="H90" s="14">
        <f t="shared" si="17"/>
        <v>0</v>
      </c>
      <c r="I90" s="14">
        <f t="shared" si="17"/>
        <v>0</v>
      </c>
      <c r="J90" s="14">
        <f t="shared" si="17"/>
        <v>0</v>
      </c>
      <c r="K90" s="14">
        <f t="shared" si="17"/>
        <v>0</v>
      </c>
      <c r="L90" s="14">
        <f t="shared" si="17"/>
        <v>0</v>
      </c>
      <c r="M90" s="14">
        <f t="shared" si="17"/>
        <v>0</v>
      </c>
      <c r="N90" s="14">
        <f t="shared" si="17"/>
        <v>0</v>
      </c>
      <c r="O90" s="14">
        <f t="shared" si="17"/>
        <v>0</v>
      </c>
      <c r="P90" s="5"/>
      <c r="Q90" s="14">
        <f t="shared" si="17"/>
        <v>0</v>
      </c>
      <c r="R90" s="5"/>
      <c r="S90" s="5"/>
      <c r="T90" s="5"/>
      <c r="U90" s="5"/>
      <c r="V90" s="5"/>
      <c r="W90" s="5"/>
      <c r="X90" s="5"/>
      <c r="Y90" s="5"/>
    </row>
    <row r="91" spans="1:25" ht="19.899999999999999" customHeight="1" x14ac:dyDescent="0.5">
      <c r="A91" s="5"/>
      <c r="B91" s="45"/>
      <c r="C91" s="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5"/>
      <c r="Q91" s="45"/>
      <c r="R91" s="5"/>
      <c r="S91" s="5"/>
      <c r="T91" s="5"/>
      <c r="U91" s="5"/>
      <c r="V91" s="5"/>
      <c r="W91" s="5"/>
      <c r="X91" s="5"/>
      <c r="Y91" s="5"/>
    </row>
    <row r="92" spans="1:25" ht="19.899999999999999" customHeight="1" x14ac:dyDescent="0.5">
      <c r="A92" s="5"/>
      <c r="B92" s="46" t="s">
        <v>85</v>
      </c>
      <c r="C92" s="27" t="s">
        <v>5</v>
      </c>
      <c r="D92" s="27" t="s">
        <v>6</v>
      </c>
      <c r="E92" s="27" t="s">
        <v>7</v>
      </c>
      <c r="F92" s="27" t="s">
        <v>8</v>
      </c>
      <c r="G92" s="27" t="s">
        <v>9</v>
      </c>
      <c r="H92" s="27" t="s">
        <v>10</v>
      </c>
      <c r="I92" s="27" t="s">
        <v>11</v>
      </c>
      <c r="J92" s="27" t="s">
        <v>12</v>
      </c>
      <c r="K92" s="27" t="s">
        <v>13</v>
      </c>
      <c r="L92" s="27" t="s">
        <v>14</v>
      </c>
      <c r="M92" s="27" t="s">
        <v>15</v>
      </c>
      <c r="N92" s="27" t="s">
        <v>16</v>
      </c>
      <c r="O92" s="27" t="s">
        <v>17</v>
      </c>
      <c r="P92" s="5"/>
      <c r="Q92" s="27" t="s">
        <v>18</v>
      </c>
      <c r="R92" s="5"/>
      <c r="S92" s="5"/>
      <c r="T92" s="5"/>
      <c r="U92" s="5"/>
      <c r="V92" s="5"/>
      <c r="W92" s="5"/>
      <c r="X92" s="5"/>
      <c r="Y92" s="5"/>
    </row>
    <row r="93" spans="1:25" ht="19.899999999999999" customHeight="1" x14ac:dyDescent="0.5">
      <c r="A93" s="5"/>
      <c r="B93" s="28" t="s">
        <v>86</v>
      </c>
      <c r="C93" s="29"/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5"/>
      <c r="Q93" s="30">
        <f>SUM(D93:O93)</f>
        <v>0</v>
      </c>
      <c r="R93" s="5"/>
      <c r="S93" s="5"/>
      <c r="T93" s="5"/>
      <c r="U93" s="5"/>
      <c r="V93" s="5"/>
      <c r="W93" s="5"/>
      <c r="X93" s="5"/>
      <c r="Y93" s="5"/>
    </row>
    <row r="94" spans="1:25" ht="19.899999999999999" customHeight="1" x14ac:dyDescent="0.5">
      <c r="A94" s="5"/>
      <c r="B94" s="28" t="s">
        <v>87</v>
      </c>
      <c r="C94" s="29"/>
      <c r="D94" s="30">
        <v>0</v>
      </c>
      <c r="E94" s="30">
        <v>0</v>
      </c>
      <c r="F94" s="30">
        <v>0</v>
      </c>
      <c r="G94" s="30">
        <v>0</v>
      </c>
      <c r="H94" s="30">
        <v>0</v>
      </c>
      <c r="I94" s="30">
        <v>0</v>
      </c>
      <c r="J94" s="30">
        <v>0</v>
      </c>
      <c r="K94" s="30">
        <v>0</v>
      </c>
      <c r="L94" s="30">
        <v>0</v>
      </c>
      <c r="M94" s="30">
        <v>0</v>
      </c>
      <c r="N94" s="30">
        <v>0</v>
      </c>
      <c r="O94" s="30">
        <v>0</v>
      </c>
      <c r="P94" s="5"/>
      <c r="Q94" s="30">
        <f t="shared" ref="Q94:Q96" si="18">SUM(D94:O94)</f>
        <v>0</v>
      </c>
      <c r="R94" s="5"/>
      <c r="S94" s="5"/>
      <c r="T94" s="5"/>
      <c r="U94" s="5"/>
      <c r="V94" s="5"/>
      <c r="W94" s="5"/>
      <c r="X94" s="5"/>
      <c r="Y94" s="5"/>
    </row>
    <row r="95" spans="1:25" ht="19.899999999999999" customHeight="1" x14ac:dyDescent="0.5">
      <c r="A95" s="5"/>
      <c r="B95" s="28" t="s">
        <v>88</v>
      </c>
      <c r="C95" s="29"/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5"/>
      <c r="Q95" s="30">
        <f t="shared" si="18"/>
        <v>0</v>
      </c>
      <c r="R95" s="5"/>
      <c r="S95" s="5"/>
      <c r="T95" s="5"/>
      <c r="U95" s="5"/>
      <c r="V95" s="5"/>
      <c r="W95" s="5"/>
      <c r="X95" s="5"/>
      <c r="Y95" s="5"/>
    </row>
    <row r="96" spans="1:25" ht="19.899999999999999" customHeight="1" x14ac:dyDescent="0.5">
      <c r="A96" s="5"/>
      <c r="B96" s="28" t="s">
        <v>49</v>
      </c>
      <c r="C96" s="29"/>
      <c r="D96" s="30">
        <v>0</v>
      </c>
      <c r="E96" s="30">
        <v>0</v>
      </c>
      <c r="F96" s="30">
        <v>0</v>
      </c>
      <c r="G96" s="30">
        <v>0</v>
      </c>
      <c r="H96" s="30">
        <v>0</v>
      </c>
      <c r="I96" s="30">
        <v>0</v>
      </c>
      <c r="J96" s="30">
        <v>0</v>
      </c>
      <c r="K96" s="30">
        <v>0</v>
      </c>
      <c r="L96" s="30">
        <v>0</v>
      </c>
      <c r="M96" s="30">
        <v>0</v>
      </c>
      <c r="N96" s="30">
        <v>0</v>
      </c>
      <c r="O96" s="30">
        <v>0</v>
      </c>
      <c r="P96" s="5"/>
      <c r="Q96" s="30">
        <f t="shared" si="18"/>
        <v>0</v>
      </c>
      <c r="R96" s="5"/>
      <c r="S96" s="5"/>
      <c r="T96" s="5"/>
      <c r="U96" s="5"/>
      <c r="V96" s="5"/>
      <c r="W96" s="5"/>
      <c r="X96" s="5"/>
      <c r="Y96" s="5"/>
    </row>
    <row r="97" spans="1:25" ht="19.899999999999999" customHeight="1" x14ac:dyDescent="0.5">
      <c r="A97" s="5"/>
      <c r="B97" s="31" t="s">
        <v>89</v>
      </c>
      <c r="C97" s="13"/>
      <c r="D97" s="14">
        <f>SUM(D93:D96)</f>
        <v>0</v>
      </c>
      <c r="E97" s="14">
        <f t="shared" ref="E97:Q97" si="19">SUM(E93:E96)</f>
        <v>0</v>
      </c>
      <c r="F97" s="14">
        <f t="shared" si="19"/>
        <v>0</v>
      </c>
      <c r="G97" s="14">
        <f t="shared" si="19"/>
        <v>0</v>
      </c>
      <c r="H97" s="14">
        <f t="shared" si="19"/>
        <v>0</v>
      </c>
      <c r="I97" s="14">
        <f t="shared" si="19"/>
        <v>0</v>
      </c>
      <c r="J97" s="14">
        <f t="shared" si="19"/>
        <v>0</v>
      </c>
      <c r="K97" s="14">
        <f t="shared" si="19"/>
        <v>0</v>
      </c>
      <c r="L97" s="14">
        <f t="shared" si="19"/>
        <v>0</v>
      </c>
      <c r="M97" s="14">
        <f t="shared" si="19"/>
        <v>0</v>
      </c>
      <c r="N97" s="14">
        <f t="shared" si="19"/>
        <v>0</v>
      </c>
      <c r="O97" s="14">
        <f t="shared" si="19"/>
        <v>0</v>
      </c>
      <c r="P97" s="5"/>
      <c r="Q97" s="14">
        <f t="shared" si="19"/>
        <v>0</v>
      </c>
      <c r="R97" s="5"/>
      <c r="S97" s="5"/>
      <c r="T97" s="5"/>
      <c r="U97" s="5"/>
      <c r="V97" s="5"/>
      <c r="W97" s="5"/>
      <c r="X97" s="5"/>
      <c r="Y97" s="5"/>
    </row>
    <row r="98" spans="1:25" ht="19.899999999999999" customHeight="1" x14ac:dyDescent="0.5">
      <c r="A98" s="5"/>
      <c r="B98" s="45"/>
      <c r="C98" s="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5"/>
      <c r="Q98" s="45"/>
      <c r="R98" s="5"/>
      <c r="S98" s="5"/>
      <c r="T98" s="5"/>
      <c r="U98" s="5"/>
      <c r="V98" s="5"/>
      <c r="W98" s="5"/>
      <c r="X98" s="5"/>
      <c r="Y98" s="5"/>
    </row>
    <row r="99" spans="1:25" ht="19.899999999999999" customHeight="1" x14ac:dyDescent="0.5">
      <c r="A99" s="5"/>
      <c r="B99" s="12" t="s">
        <v>20</v>
      </c>
      <c r="C99" s="13"/>
      <c r="D99" s="14">
        <f>SUM(D44,D52,D61,D82,D90,D97)</f>
        <v>407700</v>
      </c>
      <c r="E99" s="14">
        <f t="shared" ref="E99:O99" si="20">SUM(E44,E52,E61,E82,E90,E97)</f>
        <v>421300</v>
      </c>
      <c r="F99" s="14">
        <f t="shared" si="20"/>
        <v>407700</v>
      </c>
      <c r="G99" s="14">
        <f t="shared" si="20"/>
        <v>407700</v>
      </c>
      <c r="H99" s="14">
        <f t="shared" si="20"/>
        <v>257700</v>
      </c>
      <c r="I99" s="14">
        <f t="shared" si="20"/>
        <v>368000</v>
      </c>
      <c r="J99" s="14">
        <f t="shared" si="20"/>
        <v>257700</v>
      </c>
      <c r="K99" s="14">
        <f t="shared" si="20"/>
        <v>257700</v>
      </c>
      <c r="L99" s="14">
        <f t="shared" si="20"/>
        <v>239700</v>
      </c>
      <c r="M99" s="14">
        <f t="shared" si="20"/>
        <v>239700</v>
      </c>
      <c r="N99" s="14">
        <f t="shared" si="20"/>
        <v>257700</v>
      </c>
      <c r="O99" s="14">
        <f t="shared" si="20"/>
        <v>257700</v>
      </c>
      <c r="P99" s="5"/>
      <c r="Q99" s="14">
        <f t="shared" ref="Q99" si="21">SUM(Q44,Q52,Q61,Q82,Q90,Q97)</f>
        <v>3820000</v>
      </c>
      <c r="R99" s="5"/>
      <c r="S99" s="5"/>
      <c r="T99" s="5"/>
      <c r="U99" s="5"/>
      <c r="V99" s="5"/>
      <c r="W99" s="5"/>
      <c r="X99" s="5"/>
      <c r="Y99" s="5"/>
    </row>
    <row r="100" spans="1:25" ht="19.899999999999999" customHeight="1" x14ac:dyDescent="0.5">
      <c r="A100" s="5"/>
      <c r="B100" s="47"/>
      <c r="C100" s="5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5"/>
      <c r="Q100" s="43"/>
      <c r="R100" s="5"/>
      <c r="S100" s="5"/>
      <c r="T100" s="5"/>
      <c r="U100" s="5"/>
      <c r="V100" s="5"/>
      <c r="W100" s="5"/>
      <c r="X100" s="5"/>
      <c r="Y100" s="5"/>
    </row>
    <row r="101" spans="1:25" ht="15" customHeight="1" x14ac:dyDescent="0.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5" ht="15" customHeight="1" x14ac:dyDescent="0.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5" ht="15" customHeight="1" x14ac:dyDescent="0.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5" ht="15" customHeight="1" x14ac:dyDescent="0.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5" ht="15" customHeight="1" x14ac:dyDescent="0.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</row>
    <row r="106" spans="1:25" ht="15" customHeight="1" x14ac:dyDescent="0.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</row>
    <row r="107" spans="1:25" ht="15" customHeight="1" x14ac:dyDescent="0.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</row>
    <row r="108" spans="1:25" ht="15" customHeight="1" x14ac:dyDescent="0.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</row>
    <row r="109" spans="1:25" ht="15" customHeight="1" x14ac:dyDescent="0.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</row>
    <row r="110" spans="1:25" ht="15" customHeight="1" x14ac:dyDescent="0.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</row>
    <row r="111" spans="1:25" ht="15" customHeight="1" x14ac:dyDescent="0.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5" ht="15" customHeight="1" x14ac:dyDescent="0.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15" customHeight="1" x14ac:dyDescent="0.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15" customHeight="1" x14ac:dyDescent="0.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" customHeight="1" x14ac:dyDescent="0.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15" customHeight="1" x14ac:dyDescent="0.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15" customHeight="1" x14ac:dyDescent="0.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15" customHeight="1" x14ac:dyDescent="0.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" customHeight="1" x14ac:dyDescent="0.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" customHeight="1" x14ac:dyDescent="0.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" customHeight="1" x14ac:dyDescent="0.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" customHeight="1" x14ac:dyDescent="0.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" customHeight="1" x14ac:dyDescent="0.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" customHeight="1" x14ac:dyDescent="0.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" customHeight="1" x14ac:dyDescent="0.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" customHeight="1" x14ac:dyDescent="0.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" customHeight="1" x14ac:dyDescent="0.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" customHeight="1" x14ac:dyDescent="0.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" customHeight="1" x14ac:dyDescent="0.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" customHeight="1" x14ac:dyDescent="0.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" customHeight="1" x14ac:dyDescent="0.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" customHeight="1" x14ac:dyDescent="0.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" customHeight="1" x14ac:dyDescent="0.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" customHeight="1" x14ac:dyDescent="0.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" customHeight="1" x14ac:dyDescent="0.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" customHeight="1" x14ac:dyDescent="0.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" customHeight="1" x14ac:dyDescent="0.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" customHeight="1" x14ac:dyDescent="0.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" customHeight="1" x14ac:dyDescent="0.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" customHeight="1" x14ac:dyDescent="0.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ht="15" customHeight="1" x14ac:dyDescent="0.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ht="15" customHeight="1" x14ac:dyDescent="0.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ht="15" customHeight="1" x14ac:dyDescent="0.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</row>
    <row r="144" spans="1:25" ht="15" customHeight="1" x14ac:dyDescent="0.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</row>
    <row r="145" spans="1:25" ht="15" customHeight="1" x14ac:dyDescent="0.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</row>
    <row r="146" spans="1:25" ht="15" customHeight="1" x14ac:dyDescent="0.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</row>
    <row r="147" spans="1:25" ht="15" customHeight="1" x14ac:dyDescent="0.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</row>
    <row r="148" spans="1:25" ht="15" customHeight="1" x14ac:dyDescent="0.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</row>
    <row r="149" spans="1:25" ht="15" customHeight="1" x14ac:dyDescent="0.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</row>
    <row r="150" spans="1:25" ht="15" customHeight="1" x14ac:dyDescent="0.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</row>
    <row r="151" spans="1:25" ht="15" customHeight="1" x14ac:dyDescent="0.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</row>
    <row r="152" spans="1:25" ht="15" customHeight="1" x14ac:dyDescent="0.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</row>
    <row r="153" spans="1:25" ht="15" customHeight="1" x14ac:dyDescent="0.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</row>
    <row r="154" spans="1:25" ht="15" customHeight="1" x14ac:dyDescent="0.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</row>
    <row r="155" spans="1:25" ht="15" customHeight="1" x14ac:dyDescent="0.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</row>
    <row r="156" spans="1:25" ht="15" customHeight="1" x14ac:dyDescent="0.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</row>
    <row r="157" spans="1:25" ht="15" customHeight="1" x14ac:dyDescent="0.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</row>
    <row r="158" spans="1:25" ht="15" customHeight="1" x14ac:dyDescent="0.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</row>
    <row r="159" spans="1:25" ht="15" customHeight="1" x14ac:dyDescent="0.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</row>
    <row r="160" spans="1:25" ht="15" customHeight="1" x14ac:dyDescent="0.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</row>
    <row r="161" spans="1:25" ht="15" customHeight="1" x14ac:dyDescent="0.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</row>
    <row r="162" spans="1:25" ht="15" customHeight="1" x14ac:dyDescent="0.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</row>
    <row r="163" spans="1:25" ht="15" customHeight="1" x14ac:dyDescent="0.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</row>
    <row r="164" spans="1:25" ht="15" customHeight="1" x14ac:dyDescent="0.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</row>
    <row r="165" spans="1:25" ht="15" customHeight="1" x14ac:dyDescent="0.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</row>
    <row r="166" spans="1:25" ht="15" customHeight="1" x14ac:dyDescent="0.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</row>
    <row r="167" spans="1:25" ht="15" customHeight="1" x14ac:dyDescent="0.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</row>
    <row r="168" spans="1:25" ht="15" customHeight="1" x14ac:dyDescent="0.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</row>
    <row r="169" spans="1:25" ht="15" customHeight="1" x14ac:dyDescent="0.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</row>
    <row r="170" spans="1:25" ht="15" customHeight="1" x14ac:dyDescent="0.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</row>
    <row r="171" spans="1:25" ht="15" customHeight="1" x14ac:dyDescent="0.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</row>
    <row r="172" spans="1:25" ht="15" customHeight="1" x14ac:dyDescent="0.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</row>
    <row r="173" spans="1:25" ht="15" customHeight="1" x14ac:dyDescent="0.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</row>
    <row r="174" spans="1:25" ht="15" customHeight="1" x14ac:dyDescent="0.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</row>
    <row r="175" spans="1:25" ht="15" customHeight="1" x14ac:dyDescent="0.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</row>
    <row r="176" spans="1:25" ht="15" customHeight="1" x14ac:dyDescent="0.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</row>
    <row r="177" spans="1:25" ht="15" customHeight="1" x14ac:dyDescent="0.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</row>
    <row r="178" spans="1:25" ht="15" customHeight="1" x14ac:dyDescent="0.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</row>
    <row r="179" spans="1:25" ht="15" customHeight="1" x14ac:dyDescent="0.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</row>
    <row r="180" spans="1:25" ht="15" customHeight="1" x14ac:dyDescent="0.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</row>
    <row r="181" spans="1:25" ht="15" customHeight="1" x14ac:dyDescent="0.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</row>
    <row r="182" spans="1:25" ht="15" customHeight="1" x14ac:dyDescent="0.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</row>
    <row r="183" spans="1:25" ht="15" customHeight="1" x14ac:dyDescent="0.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</row>
    <row r="184" spans="1:25" ht="15" customHeight="1" x14ac:dyDescent="0.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</row>
    <row r="185" spans="1:25" ht="15" customHeight="1" x14ac:dyDescent="0.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</row>
    <row r="186" spans="1:25" ht="15" customHeight="1" x14ac:dyDescent="0.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</row>
    <row r="187" spans="1:25" ht="15" customHeight="1" x14ac:dyDescent="0.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</row>
    <row r="188" spans="1:25" ht="15" customHeight="1" x14ac:dyDescent="0.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</row>
    <row r="189" spans="1:25" ht="15" customHeight="1" x14ac:dyDescent="0.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</row>
    <row r="190" spans="1:25" ht="15" customHeight="1" x14ac:dyDescent="0.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</row>
    <row r="191" spans="1:25" ht="15" customHeight="1" x14ac:dyDescent="0.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</row>
    <row r="192" spans="1:25" ht="15" customHeight="1" x14ac:dyDescent="0.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</row>
    <row r="193" spans="1:25" ht="15" customHeight="1" x14ac:dyDescent="0.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</row>
    <row r="194" spans="1:25" ht="15" customHeight="1" x14ac:dyDescent="0.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</row>
    <row r="195" spans="1:25" ht="15" customHeight="1" x14ac:dyDescent="0.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</row>
    <row r="196" spans="1:25" ht="15" customHeight="1" x14ac:dyDescent="0.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</row>
    <row r="197" spans="1:25" ht="15" customHeight="1" x14ac:dyDescent="0.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</row>
    <row r="198" spans="1:25" ht="15" customHeight="1" x14ac:dyDescent="0.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</row>
    <row r="199" spans="1:25" ht="15" customHeight="1" x14ac:dyDescent="0.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</row>
    <row r="200" spans="1:25" ht="15" customHeight="1" x14ac:dyDescent="0.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</row>
    <row r="201" spans="1:25" ht="15" customHeight="1" x14ac:dyDescent="0.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</row>
    <row r="202" spans="1:25" ht="15" customHeight="1" x14ac:dyDescent="0.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</row>
    <row r="203" spans="1:25" ht="15" customHeight="1" x14ac:dyDescent="0.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</row>
    <row r="204" spans="1:25" ht="15" customHeight="1" x14ac:dyDescent="0.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</row>
    <row r="205" spans="1:25" ht="15" customHeight="1" x14ac:dyDescent="0.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</row>
    <row r="206" spans="1:25" ht="15" customHeight="1" x14ac:dyDescent="0.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</row>
    <row r="207" spans="1:25" ht="15" customHeight="1" x14ac:dyDescent="0.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</row>
    <row r="208" spans="1:25" ht="15" customHeight="1" x14ac:dyDescent="0.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</row>
    <row r="209" spans="1:25" ht="15" customHeight="1" x14ac:dyDescent="0.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</row>
    <row r="210" spans="1:25" ht="15" customHeight="1" x14ac:dyDescent="0.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</row>
    <row r="211" spans="1:25" ht="15" customHeight="1" x14ac:dyDescent="0.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</row>
    <row r="212" spans="1:25" ht="15" customHeight="1" x14ac:dyDescent="0.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</row>
    <row r="213" spans="1:25" ht="15" customHeight="1" x14ac:dyDescent="0.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</row>
    <row r="214" spans="1:25" ht="15" customHeight="1" x14ac:dyDescent="0.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</row>
    <row r="215" spans="1:25" ht="15" customHeight="1" x14ac:dyDescent="0.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</row>
    <row r="216" spans="1:25" ht="15" customHeight="1" x14ac:dyDescent="0.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</row>
    <row r="217" spans="1:25" ht="15" customHeight="1" x14ac:dyDescent="0.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</row>
    <row r="218" spans="1:25" ht="15" customHeight="1" x14ac:dyDescent="0.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</row>
    <row r="219" spans="1:25" ht="15" customHeight="1" x14ac:dyDescent="0.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</row>
    <row r="220" spans="1:25" ht="15" customHeight="1" x14ac:dyDescent="0.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</row>
    <row r="221" spans="1:25" ht="15" customHeight="1" x14ac:dyDescent="0.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</row>
    <row r="222" spans="1:25" ht="15" customHeight="1" x14ac:dyDescent="0.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</row>
    <row r="223" spans="1:25" ht="15" customHeight="1" x14ac:dyDescent="0.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</row>
    <row r="224" spans="1:25" ht="15" customHeight="1" x14ac:dyDescent="0.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</row>
    <row r="225" spans="1:25" ht="15" customHeight="1" x14ac:dyDescent="0.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</row>
    <row r="226" spans="1:25" ht="15" customHeight="1" x14ac:dyDescent="0.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</row>
    <row r="227" spans="1:25" ht="15" customHeight="1" x14ac:dyDescent="0.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</row>
    <row r="228" spans="1:25" ht="15" customHeight="1" x14ac:dyDescent="0.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</row>
    <row r="229" spans="1:25" ht="15" customHeight="1" x14ac:dyDescent="0.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</row>
    <row r="230" spans="1:25" ht="15" customHeight="1" x14ac:dyDescent="0.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</row>
    <row r="231" spans="1:25" ht="15" customHeight="1" x14ac:dyDescent="0.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</row>
    <row r="232" spans="1:25" ht="15" customHeight="1" x14ac:dyDescent="0.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</row>
    <row r="233" spans="1:25" ht="15" customHeight="1" x14ac:dyDescent="0.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</row>
    <row r="234" spans="1:25" ht="15" customHeight="1" x14ac:dyDescent="0.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</row>
    <row r="235" spans="1:25" ht="15" customHeight="1" x14ac:dyDescent="0.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</row>
    <row r="236" spans="1:25" ht="15" customHeight="1" x14ac:dyDescent="0.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</row>
    <row r="237" spans="1:25" ht="15" customHeight="1" x14ac:dyDescent="0.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</row>
    <row r="238" spans="1:25" ht="15" customHeight="1" x14ac:dyDescent="0.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</row>
    <row r="239" spans="1:25" ht="15" customHeight="1" x14ac:dyDescent="0.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</row>
    <row r="240" spans="1:25" ht="15" customHeight="1" x14ac:dyDescent="0.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</row>
    <row r="241" spans="1:25" ht="15" customHeight="1" x14ac:dyDescent="0.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</row>
    <row r="242" spans="1:25" ht="15" customHeight="1" x14ac:dyDescent="0.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</row>
    <row r="243" spans="1:25" ht="15" customHeight="1" x14ac:dyDescent="0.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</row>
    <row r="244" spans="1:25" ht="15" customHeight="1" x14ac:dyDescent="0.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</row>
    <row r="245" spans="1:25" ht="15" customHeight="1" x14ac:dyDescent="0.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</row>
    <row r="246" spans="1:25" ht="15" customHeight="1" x14ac:dyDescent="0.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</row>
    <row r="247" spans="1:25" ht="15" customHeight="1" x14ac:dyDescent="0.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</row>
    <row r="248" spans="1:25" ht="15" customHeight="1" x14ac:dyDescent="0.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</row>
    <row r="249" spans="1:25" ht="15" customHeight="1" x14ac:dyDescent="0.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</row>
    <row r="250" spans="1:25" ht="15" customHeight="1" x14ac:dyDescent="0.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</row>
    <row r="251" spans="1:25" ht="15" customHeight="1" x14ac:dyDescent="0.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</row>
    <row r="252" spans="1:25" ht="15" customHeight="1" x14ac:dyDescent="0.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</row>
    <row r="253" spans="1:25" ht="15" customHeight="1" x14ac:dyDescent="0.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</row>
    <row r="254" spans="1:25" ht="15" customHeight="1" x14ac:dyDescent="0.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</row>
    <row r="255" spans="1:25" ht="15" customHeight="1" x14ac:dyDescent="0.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</row>
    <row r="256" spans="1:25" ht="15" customHeight="1" x14ac:dyDescent="0.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</row>
    <row r="257" spans="1:25" ht="15" customHeight="1" x14ac:dyDescent="0.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</row>
    <row r="258" spans="1:25" ht="15" customHeight="1" x14ac:dyDescent="0.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</row>
    <row r="259" spans="1:25" ht="15" customHeight="1" x14ac:dyDescent="0.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</row>
    <row r="260" spans="1:25" ht="15" customHeight="1" x14ac:dyDescent="0.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</row>
    <row r="261" spans="1:25" ht="15" customHeight="1" x14ac:dyDescent="0.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</row>
    <row r="262" spans="1:25" ht="15" customHeight="1" x14ac:dyDescent="0.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</row>
    <row r="263" spans="1:25" ht="15" customHeight="1" x14ac:dyDescent="0.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</row>
    <row r="264" spans="1:25" ht="15" customHeight="1" x14ac:dyDescent="0.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</row>
    <row r="265" spans="1:25" ht="15" customHeight="1" x14ac:dyDescent="0.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</row>
    <row r="266" spans="1:25" ht="15" customHeight="1" x14ac:dyDescent="0.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</row>
    <row r="267" spans="1:25" ht="15" customHeight="1" x14ac:dyDescent="0.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</row>
    <row r="268" spans="1:25" ht="15" customHeight="1" x14ac:dyDescent="0.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</row>
    <row r="269" spans="1:25" ht="15" customHeight="1" x14ac:dyDescent="0.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</row>
    <row r="270" spans="1:25" ht="15" customHeight="1" x14ac:dyDescent="0.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</row>
    <row r="271" spans="1:25" ht="15" customHeight="1" x14ac:dyDescent="0.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</row>
    <row r="272" spans="1:25" ht="15" customHeight="1" x14ac:dyDescent="0.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</row>
    <row r="273" spans="1:25" ht="15" customHeight="1" x14ac:dyDescent="0.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</row>
    <row r="274" spans="1:25" ht="15" customHeight="1" x14ac:dyDescent="0.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</row>
    <row r="275" spans="1:25" ht="15" customHeight="1" x14ac:dyDescent="0.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</row>
    <row r="276" spans="1:25" ht="15" customHeight="1" x14ac:dyDescent="0.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</row>
    <row r="277" spans="1:25" ht="15" customHeight="1" x14ac:dyDescent="0.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</row>
    <row r="278" spans="1:25" ht="15" customHeight="1" x14ac:dyDescent="0.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</row>
    <row r="279" spans="1:25" ht="15" customHeight="1" x14ac:dyDescent="0.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</row>
    <row r="280" spans="1:25" ht="15" customHeight="1" x14ac:dyDescent="0.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</row>
    <row r="281" spans="1:25" ht="15" customHeight="1" x14ac:dyDescent="0.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</row>
    <row r="282" spans="1:25" ht="15" customHeight="1" x14ac:dyDescent="0.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</row>
    <row r="283" spans="1:25" ht="15" customHeight="1" x14ac:dyDescent="0.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</row>
    <row r="284" spans="1:25" ht="15" customHeight="1" x14ac:dyDescent="0.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</row>
    <row r="285" spans="1:25" ht="15" customHeight="1" x14ac:dyDescent="0.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</row>
    <row r="286" spans="1:25" ht="15" customHeight="1" x14ac:dyDescent="0.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</row>
    <row r="287" spans="1:25" ht="15" customHeight="1" x14ac:dyDescent="0.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</row>
    <row r="288" spans="1:25" ht="15" customHeight="1" x14ac:dyDescent="0.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</row>
    <row r="289" spans="1:25" ht="15" customHeight="1" x14ac:dyDescent="0.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</row>
    <row r="290" spans="1:25" ht="15" customHeight="1" x14ac:dyDescent="0.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</row>
    <row r="291" spans="1:25" ht="15" customHeight="1" x14ac:dyDescent="0.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</row>
    <row r="292" spans="1:25" ht="15" customHeight="1" x14ac:dyDescent="0.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</row>
    <row r="293" spans="1:25" ht="15" customHeight="1" x14ac:dyDescent="0.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</row>
    <row r="294" spans="1:25" ht="15" customHeight="1" x14ac:dyDescent="0.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</row>
    <row r="295" spans="1:25" ht="15" customHeight="1" x14ac:dyDescent="0.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</row>
    <row r="296" spans="1:25" ht="15" customHeight="1" x14ac:dyDescent="0.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</row>
    <row r="297" spans="1:25" ht="15" customHeight="1" x14ac:dyDescent="0.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</row>
    <row r="298" spans="1:25" ht="15" customHeight="1" x14ac:dyDescent="0.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</row>
    <row r="299" spans="1:25" ht="15" customHeight="1" x14ac:dyDescent="0.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</row>
    <row r="300" spans="1:25" ht="15" customHeight="1" x14ac:dyDescent="0.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</row>
    <row r="301" spans="1:25" ht="15" customHeight="1" x14ac:dyDescent="0.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</row>
    <row r="302" spans="1:25" ht="15" customHeight="1" x14ac:dyDescent="0.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</row>
    <row r="303" spans="1:25" ht="15" customHeight="1" x14ac:dyDescent="0.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</row>
    <row r="304" spans="1:25" ht="15" customHeight="1" x14ac:dyDescent="0.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</row>
    <row r="305" spans="1:25" ht="15" customHeight="1" x14ac:dyDescent="0.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</row>
    <row r="306" spans="1:25" ht="15" customHeight="1" x14ac:dyDescent="0.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</row>
    <row r="307" spans="1:25" ht="15" customHeight="1" x14ac:dyDescent="0.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</row>
    <row r="308" spans="1:25" ht="15" customHeight="1" x14ac:dyDescent="0.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</row>
    <row r="309" spans="1:25" ht="15" customHeight="1" x14ac:dyDescent="0.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</row>
    <row r="310" spans="1:25" ht="15" customHeight="1" x14ac:dyDescent="0.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</row>
    <row r="311" spans="1:25" ht="15" customHeight="1" x14ac:dyDescent="0.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</row>
    <row r="312" spans="1:25" ht="15" customHeight="1" x14ac:dyDescent="0.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</row>
    <row r="313" spans="1:25" ht="15" customHeight="1" x14ac:dyDescent="0.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</row>
    <row r="314" spans="1:25" ht="15" customHeight="1" x14ac:dyDescent="0.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</row>
    <row r="315" spans="1:25" ht="15" customHeight="1" x14ac:dyDescent="0.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</row>
    <row r="316" spans="1:25" ht="15" customHeight="1" x14ac:dyDescent="0.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</row>
    <row r="317" spans="1:25" ht="15" customHeight="1" x14ac:dyDescent="0.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</row>
    <row r="318" spans="1:25" ht="15" customHeight="1" x14ac:dyDescent="0.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</row>
    <row r="319" spans="1:25" ht="15" customHeight="1" x14ac:dyDescent="0.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</row>
    <row r="320" spans="1:25" ht="15" customHeight="1" x14ac:dyDescent="0.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</row>
    <row r="321" spans="1:25" ht="15" customHeight="1" x14ac:dyDescent="0.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</row>
    <row r="322" spans="1:25" ht="15" customHeight="1" x14ac:dyDescent="0.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</row>
    <row r="323" spans="1:25" ht="15" customHeight="1" x14ac:dyDescent="0.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</row>
    <row r="324" spans="1:25" ht="15" customHeight="1" x14ac:dyDescent="0.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</row>
    <row r="325" spans="1:25" ht="15" customHeight="1" x14ac:dyDescent="0.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</row>
    <row r="326" spans="1:25" ht="15" customHeight="1" x14ac:dyDescent="0.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</row>
    <row r="327" spans="1:25" ht="15" customHeight="1" x14ac:dyDescent="0.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</row>
    <row r="328" spans="1:25" ht="15" customHeight="1" x14ac:dyDescent="0.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</row>
    <row r="329" spans="1:25" ht="15" customHeight="1" x14ac:dyDescent="0.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</row>
    <row r="330" spans="1:25" ht="15" customHeight="1" x14ac:dyDescent="0.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</row>
    <row r="331" spans="1:25" ht="15" customHeight="1" x14ac:dyDescent="0.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</row>
    <row r="332" spans="1:25" ht="15" customHeight="1" x14ac:dyDescent="0.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</row>
    <row r="333" spans="1:25" ht="15" customHeight="1" x14ac:dyDescent="0.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</row>
    <row r="334" spans="1:25" ht="15" customHeight="1" x14ac:dyDescent="0.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</row>
    <row r="335" spans="1:25" ht="15" customHeight="1" x14ac:dyDescent="0.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</row>
    <row r="336" spans="1:25" ht="15" customHeight="1" x14ac:dyDescent="0.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</row>
    <row r="337" spans="1:25" ht="15" customHeight="1" x14ac:dyDescent="0.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</row>
    <row r="338" spans="1:25" ht="15" customHeight="1" x14ac:dyDescent="0.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</row>
    <row r="339" spans="1:25" ht="15" customHeight="1" x14ac:dyDescent="0.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</row>
    <row r="340" spans="1:25" ht="15" customHeight="1" x14ac:dyDescent="0.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</row>
    <row r="341" spans="1:25" ht="15" customHeight="1" x14ac:dyDescent="0.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</row>
    <row r="342" spans="1:25" ht="15" customHeight="1" x14ac:dyDescent="0.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</row>
    <row r="343" spans="1:25" ht="15" customHeight="1" x14ac:dyDescent="0.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</row>
    <row r="344" spans="1:25" ht="15" customHeight="1" x14ac:dyDescent="0.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</row>
    <row r="345" spans="1:25" ht="15" customHeight="1" x14ac:dyDescent="0.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</row>
    <row r="346" spans="1:25" ht="15" customHeight="1" x14ac:dyDescent="0.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</row>
    <row r="347" spans="1:25" ht="15" customHeight="1" x14ac:dyDescent="0.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</row>
    <row r="348" spans="1:25" ht="15" customHeight="1" x14ac:dyDescent="0.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</row>
    <row r="349" spans="1:25" ht="15" customHeight="1" x14ac:dyDescent="0.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</row>
    <row r="350" spans="1:25" ht="15" customHeight="1" x14ac:dyDescent="0.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</row>
    <row r="351" spans="1:25" ht="15" customHeight="1" x14ac:dyDescent="0.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</row>
    <row r="352" spans="1:25" ht="15" customHeight="1" x14ac:dyDescent="0.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</row>
    <row r="353" spans="1:25" ht="15" customHeight="1" x14ac:dyDescent="0.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</row>
    <row r="354" spans="1:25" ht="15" customHeight="1" x14ac:dyDescent="0.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</row>
    <row r="355" spans="1:25" ht="15" customHeight="1" x14ac:dyDescent="0.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</row>
    <row r="356" spans="1:25" ht="15" customHeight="1" x14ac:dyDescent="0.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</row>
    <row r="357" spans="1:25" ht="15" customHeight="1" x14ac:dyDescent="0.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</row>
    <row r="358" spans="1:25" ht="15" customHeight="1" x14ac:dyDescent="0.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</row>
    <row r="359" spans="1:25" ht="15" customHeight="1" x14ac:dyDescent="0.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</row>
    <row r="360" spans="1:25" ht="15" customHeight="1" x14ac:dyDescent="0.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</row>
    <row r="361" spans="1:25" ht="15" customHeight="1" x14ac:dyDescent="0.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</row>
    <row r="362" spans="1:25" ht="15" customHeight="1" x14ac:dyDescent="0.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</row>
    <row r="363" spans="1:25" ht="15" customHeight="1" x14ac:dyDescent="0.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</row>
    <row r="364" spans="1:25" ht="15" customHeight="1" x14ac:dyDescent="0.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</row>
    <row r="365" spans="1:25" ht="15" customHeight="1" x14ac:dyDescent="0.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</row>
    <row r="366" spans="1:25" ht="15" customHeight="1" x14ac:dyDescent="0.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</row>
    <row r="367" spans="1:25" ht="15" customHeight="1" x14ac:dyDescent="0.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</row>
    <row r="368" spans="1:25" ht="15" customHeight="1" x14ac:dyDescent="0.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</row>
    <row r="369" spans="1:25" ht="15" customHeight="1" x14ac:dyDescent="0.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</row>
    <row r="370" spans="1:25" ht="15" customHeight="1" x14ac:dyDescent="0.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</row>
    <row r="371" spans="1:25" ht="15" customHeight="1" x14ac:dyDescent="0.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</row>
    <row r="372" spans="1:25" ht="15" customHeight="1" x14ac:dyDescent="0.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</row>
    <row r="373" spans="1:25" ht="15" customHeight="1" x14ac:dyDescent="0.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</row>
    <row r="374" spans="1:25" ht="15" customHeight="1" x14ac:dyDescent="0.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</row>
    <row r="375" spans="1:25" ht="15" customHeight="1" x14ac:dyDescent="0.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</row>
    <row r="376" spans="1:25" ht="15" customHeight="1" x14ac:dyDescent="0.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</row>
    <row r="377" spans="1:25" ht="15" customHeight="1" x14ac:dyDescent="0.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</row>
    <row r="378" spans="1:25" ht="15" customHeight="1" x14ac:dyDescent="0.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</row>
    <row r="379" spans="1:25" ht="15" customHeight="1" x14ac:dyDescent="0.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</row>
    <row r="380" spans="1:25" ht="15" customHeight="1" x14ac:dyDescent="0.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</row>
    <row r="381" spans="1:25" ht="15" customHeight="1" x14ac:dyDescent="0.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</row>
    <row r="382" spans="1:25" ht="15" customHeight="1" x14ac:dyDescent="0.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</row>
    <row r="383" spans="1:25" ht="15" customHeight="1" x14ac:dyDescent="0.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</row>
    <row r="384" spans="1:25" ht="15" customHeight="1" x14ac:dyDescent="0.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</row>
    <row r="385" spans="1:25" ht="15" customHeight="1" x14ac:dyDescent="0.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</row>
    <row r="386" spans="1:25" ht="15" customHeight="1" x14ac:dyDescent="0.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</row>
    <row r="387" spans="1:25" ht="15" customHeight="1" x14ac:dyDescent="0.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</row>
    <row r="388" spans="1:25" ht="15" customHeight="1" x14ac:dyDescent="0.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</row>
    <row r="389" spans="1:25" ht="15" customHeight="1" x14ac:dyDescent="0.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</row>
    <row r="390" spans="1:25" ht="15" customHeight="1" x14ac:dyDescent="0.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</row>
    <row r="391" spans="1:25" ht="15" customHeight="1" x14ac:dyDescent="0.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</row>
    <row r="392" spans="1:25" ht="15" customHeight="1" x14ac:dyDescent="0.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</row>
    <row r="393" spans="1:25" ht="15" customHeight="1" x14ac:dyDescent="0.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</row>
    <row r="394" spans="1:25" ht="15" customHeight="1" x14ac:dyDescent="0.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</row>
    <row r="395" spans="1:25" ht="15" customHeight="1" x14ac:dyDescent="0.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</row>
    <row r="396" spans="1:25" ht="15" customHeight="1" x14ac:dyDescent="0.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</row>
    <row r="397" spans="1:25" ht="15" customHeight="1" x14ac:dyDescent="0.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</row>
    <row r="398" spans="1:25" ht="15" customHeight="1" x14ac:dyDescent="0.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</row>
    <row r="399" spans="1:25" ht="15" customHeight="1" x14ac:dyDescent="0.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</row>
    <row r="400" spans="1:25" ht="15" customHeight="1" x14ac:dyDescent="0.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</row>
    <row r="401" spans="1:25" ht="15" customHeight="1" x14ac:dyDescent="0.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</row>
    <row r="402" spans="1:25" ht="15" customHeight="1" x14ac:dyDescent="0.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</row>
    <row r="403" spans="1:25" ht="15" customHeight="1" x14ac:dyDescent="0.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</row>
    <row r="404" spans="1:25" ht="15" customHeight="1" x14ac:dyDescent="0.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</row>
    <row r="405" spans="1:25" ht="15" customHeight="1" x14ac:dyDescent="0.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</row>
    <row r="406" spans="1:25" ht="15" customHeight="1" x14ac:dyDescent="0.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</row>
    <row r="407" spans="1:25" ht="15" customHeight="1" x14ac:dyDescent="0.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</row>
    <row r="408" spans="1:25" ht="15" customHeight="1" x14ac:dyDescent="0.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</row>
    <row r="409" spans="1:25" ht="15" customHeight="1" x14ac:dyDescent="0.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</row>
    <row r="410" spans="1:25" ht="15" customHeight="1" x14ac:dyDescent="0.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</row>
    <row r="411" spans="1:25" ht="15" customHeight="1" x14ac:dyDescent="0.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</row>
    <row r="412" spans="1:25" ht="15" customHeight="1" x14ac:dyDescent="0.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</row>
    <row r="413" spans="1:25" ht="15" customHeight="1" x14ac:dyDescent="0.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</row>
    <row r="414" spans="1:25" ht="15" customHeight="1" x14ac:dyDescent="0.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</row>
    <row r="415" spans="1:25" ht="15" customHeight="1" x14ac:dyDescent="0.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</row>
    <row r="416" spans="1:25" ht="15" customHeight="1" x14ac:dyDescent="0.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</row>
    <row r="417" spans="1:25" ht="15" customHeight="1" x14ac:dyDescent="0.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</row>
    <row r="418" spans="1:25" ht="15" customHeight="1" x14ac:dyDescent="0.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</row>
    <row r="419" spans="1:25" ht="15" customHeight="1" x14ac:dyDescent="0.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</row>
    <row r="420" spans="1:25" ht="15" customHeight="1" x14ac:dyDescent="0.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</row>
    <row r="421" spans="1:25" ht="15" customHeight="1" x14ac:dyDescent="0.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</row>
    <row r="422" spans="1:25" ht="15" customHeight="1" x14ac:dyDescent="0.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</row>
    <row r="423" spans="1:25" ht="15" customHeight="1" x14ac:dyDescent="0.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</row>
    <row r="424" spans="1:25" ht="15" customHeight="1" x14ac:dyDescent="0.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</row>
    <row r="425" spans="1:25" ht="15" customHeight="1" x14ac:dyDescent="0.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</row>
    <row r="426" spans="1:25" ht="15" customHeight="1" x14ac:dyDescent="0.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</row>
    <row r="427" spans="1:25" ht="15" customHeight="1" x14ac:dyDescent="0.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</row>
    <row r="428" spans="1:25" ht="15" customHeight="1" x14ac:dyDescent="0.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</row>
    <row r="429" spans="1:25" ht="15" customHeight="1" x14ac:dyDescent="0.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</row>
    <row r="430" spans="1:25" ht="15" customHeight="1" x14ac:dyDescent="0.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</row>
    <row r="431" spans="1:25" ht="15" customHeight="1" x14ac:dyDescent="0.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</row>
    <row r="432" spans="1:25" ht="15" customHeight="1" x14ac:dyDescent="0.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</row>
    <row r="433" spans="1:25" ht="15" customHeight="1" x14ac:dyDescent="0.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</row>
    <row r="434" spans="1:25" ht="15" customHeight="1" x14ac:dyDescent="0.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</row>
    <row r="435" spans="1:25" ht="15" customHeight="1" x14ac:dyDescent="0.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</row>
    <row r="436" spans="1:25" ht="15" customHeight="1" x14ac:dyDescent="0.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</row>
    <row r="437" spans="1:25" ht="15" customHeight="1" x14ac:dyDescent="0.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</row>
    <row r="438" spans="1:25" ht="15" customHeight="1" x14ac:dyDescent="0.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</row>
    <row r="439" spans="1:25" ht="15" customHeight="1" x14ac:dyDescent="0.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</row>
    <row r="440" spans="1:25" ht="15" customHeight="1" x14ac:dyDescent="0.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</row>
    <row r="441" spans="1:25" ht="15" customHeight="1" x14ac:dyDescent="0.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</row>
    <row r="442" spans="1:25" ht="15" customHeight="1" x14ac:dyDescent="0.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</row>
    <row r="443" spans="1:25" ht="15" customHeight="1" x14ac:dyDescent="0.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</row>
    <row r="444" spans="1:25" ht="15" customHeight="1" x14ac:dyDescent="0.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</row>
    <row r="445" spans="1:25" ht="15" customHeight="1" x14ac:dyDescent="0.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</row>
    <row r="446" spans="1:25" ht="15" customHeight="1" x14ac:dyDescent="0.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</row>
    <row r="447" spans="1:25" ht="15" customHeight="1" x14ac:dyDescent="0.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</row>
    <row r="448" spans="1:25" ht="15" customHeight="1" x14ac:dyDescent="0.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</row>
    <row r="449" spans="1:25" ht="15" customHeight="1" x14ac:dyDescent="0.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</row>
    <row r="450" spans="1:25" ht="15" customHeight="1" x14ac:dyDescent="0.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</row>
    <row r="451" spans="1:25" ht="15" customHeight="1" x14ac:dyDescent="0.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</row>
    <row r="452" spans="1:25" ht="15" customHeight="1" x14ac:dyDescent="0.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</row>
    <row r="453" spans="1:25" ht="15" customHeight="1" x14ac:dyDescent="0.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</row>
    <row r="454" spans="1:25" ht="15" customHeight="1" x14ac:dyDescent="0.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</row>
    <row r="455" spans="1:25" ht="15" customHeight="1" x14ac:dyDescent="0.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</row>
    <row r="456" spans="1:25" ht="15" customHeight="1" x14ac:dyDescent="0.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</row>
    <row r="457" spans="1:25" ht="15" customHeight="1" x14ac:dyDescent="0.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</row>
    <row r="458" spans="1:25" ht="15" customHeight="1" x14ac:dyDescent="0.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</row>
    <row r="459" spans="1:25" ht="15" customHeight="1" x14ac:dyDescent="0.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</row>
    <row r="460" spans="1:25" ht="15" customHeight="1" x14ac:dyDescent="0.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</row>
    <row r="461" spans="1:25" ht="15" customHeight="1" x14ac:dyDescent="0.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</row>
    <row r="462" spans="1:25" ht="15" customHeight="1" x14ac:dyDescent="0.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</row>
    <row r="463" spans="1:25" ht="15" customHeight="1" x14ac:dyDescent="0.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</row>
    <row r="464" spans="1:25" ht="15" customHeight="1" x14ac:dyDescent="0.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</row>
    <row r="465" spans="1:25" ht="15" customHeight="1" x14ac:dyDescent="0.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</row>
    <row r="466" spans="1:25" ht="15" customHeight="1" x14ac:dyDescent="0.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</row>
    <row r="467" spans="1:25" ht="15" customHeight="1" x14ac:dyDescent="0.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</row>
    <row r="468" spans="1:25" ht="15" customHeight="1" x14ac:dyDescent="0.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</row>
    <row r="469" spans="1:25" ht="15" customHeight="1" x14ac:dyDescent="0.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</row>
    <row r="470" spans="1:25" ht="15" customHeight="1" x14ac:dyDescent="0.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</row>
    <row r="471" spans="1:25" ht="15" customHeight="1" x14ac:dyDescent="0.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</row>
    <row r="472" spans="1:25" ht="15" customHeight="1" x14ac:dyDescent="0.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</row>
    <row r="473" spans="1:25" ht="15" customHeight="1" x14ac:dyDescent="0.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</row>
    <row r="474" spans="1:25" ht="15" customHeight="1" x14ac:dyDescent="0.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</row>
    <row r="475" spans="1:25" ht="15" customHeight="1" x14ac:dyDescent="0.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</row>
    <row r="476" spans="1:25" ht="15" customHeight="1" x14ac:dyDescent="0.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</row>
    <row r="477" spans="1:25" ht="15" customHeight="1" x14ac:dyDescent="0.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</row>
    <row r="478" spans="1:25" ht="15" customHeight="1" x14ac:dyDescent="0.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</row>
    <row r="479" spans="1:25" ht="15" customHeight="1" x14ac:dyDescent="0.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</row>
    <row r="480" spans="1:25" ht="15" customHeight="1" x14ac:dyDescent="0.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</row>
    <row r="481" spans="1:25" ht="15" customHeight="1" x14ac:dyDescent="0.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</row>
    <row r="482" spans="1:25" ht="15" customHeight="1" x14ac:dyDescent="0.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</row>
    <row r="483" spans="1:25" ht="15" customHeight="1" x14ac:dyDescent="0.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</row>
    <row r="484" spans="1:25" ht="15" customHeight="1" x14ac:dyDescent="0.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</row>
    <row r="485" spans="1:25" ht="15" customHeight="1" x14ac:dyDescent="0.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</row>
    <row r="486" spans="1:25" ht="15" customHeight="1" x14ac:dyDescent="0.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</row>
    <row r="487" spans="1:25" ht="15" customHeight="1" x14ac:dyDescent="0.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</row>
    <row r="488" spans="1:25" ht="15" customHeight="1" x14ac:dyDescent="0.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</row>
    <row r="489" spans="1:25" ht="15" customHeight="1" x14ac:dyDescent="0.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</row>
    <row r="490" spans="1:25" ht="15" customHeight="1" x14ac:dyDescent="0.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</row>
    <row r="491" spans="1:25" ht="15" customHeight="1" x14ac:dyDescent="0.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</row>
    <row r="492" spans="1:25" ht="15" customHeight="1" x14ac:dyDescent="0.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</row>
    <row r="493" spans="1:25" ht="15" customHeight="1" x14ac:dyDescent="0.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</row>
    <row r="494" spans="1:25" ht="15" customHeight="1" x14ac:dyDescent="0.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</row>
    <row r="495" spans="1:25" ht="15" customHeight="1" x14ac:dyDescent="0.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</row>
    <row r="496" spans="1:25" ht="15" customHeight="1" x14ac:dyDescent="0.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</row>
    <row r="497" spans="1:25" ht="15" customHeight="1" x14ac:dyDescent="0.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</row>
    <row r="498" spans="1:25" ht="15" customHeight="1" x14ac:dyDescent="0.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</row>
    <row r="499" spans="1:25" ht="15" customHeight="1" x14ac:dyDescent="0.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</row>
    <row r="500" spans="1:25" ht="15" customHeight="1" x14ac:dyDescent="0.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</row>
    <row r="501" spans="1:25" ht="15" customHeight="1" x14ac:dyDescent="0.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</row>
    <row r="502" spans="1:25" ht="15" customHeight="1" x14ac:dyDescent="0.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</row>
    <row r="503" spans="1:25" ht="15" customHeight="1" x14ac:dyDescent="0.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</row>
    <row r="504" spans="1:25" ht="15" customHeight="1" x14ac:dyDescent="0.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</row>
    <row r="505" spans="1:25" ht="15" customHeight="1" x14ac:dyDescent="0.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</row>
    <row r="506" spans="1:25" ht="15" customHeight="1" x14ac:dyDescent="0.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</row>
    <row r="507" spans="1:25" ht="15" customHeight="1" x14ac:dyDescent="0.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</row>
    <row r="508" spans="1:25" ht="15" customHeight="1" x14ac:dyDescent="0.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</row>
    <row r="509" spans="1:25" ht="15" customHeight="1" x14ac:dyDescent="0.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</row>
    <row r="510" spans="1:25" ht="15" customHeight="1" x14ac:dyDescent="0.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</row>
    <row r="511" spans="1:25" ht="15" customHeight="1" x14ac:dyDescent="0.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</row>
    <row r="512" spans="1:25" ht="15" customHeight="1" x14ac:dyDescent="0.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</row>
    <row r="513" spans="1:25" ht="15" customHeight="1" x14ac:dyDescent="0.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</row>
    <row r="514" spans="1:25" ht="15" customHeight="1" x14ac:dyDescent="0.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</row>
    <row r="515" spans="1:25" ht="15" customHeight="1" x14ac:dyDescent="0.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</row>
    <row r="516" spans="1:25" ht="15" customHeight="1" x14ac:dyDescent="0.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</row>
    <row r="517" spans="1:25" ht="15" customHeight="1" x14ac:dyDescent="0.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</row>
    <row r="518" spans="1:25" ht="15" customHeight="1" x14ac:dyDescent="0.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</row>
    <row r="519" spans="1:25" ht="15" customHeight="1" x14ac:dyDescent="0.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</row>
    <row r="520" spans="1:25" ht="15" customHeight="1" x14ac:dyDescent="0.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</row>
    <row r="521" spans="1:25" ht="15" customHeight="1" x14ac:dyDescent="0.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</row>
    <row r="522" spans="1:25" ht="15" customHeight="1" x14ac:dyDescent="0.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</row>
    <row r="523" spans="1:25" ht="15" customHeight="1" x14ac:dyDescent="0.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</row>
    <row r="524" spans="1:25" ht="15" customHeight="1" x14ac:dyDescent="0.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</row>
    <row r="525" spans="1:25" ht="15" customHeight="1" x14ac:dyDescent="0.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</row>
    <row r="526" spans="1:25" ht="15" customHeight="1" x14ac:dyDescent="0.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</row>
    <row r="527" spans="1:25" ht="15" customHeight="1" x14ac:dyDescent="0.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</row>
    <row r="528" spans="1:25" ht="15" customHeight="1" x14ac:dyDescent="0.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</row>
    <row r="529" spans="1:25" ht="15" customHeight="1" x14ac:dyDescent="0.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</row>
    <row r="530" spans="1:25" ht="15" customHeight="1" x14ac:dyDescent="0.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</row>
    <row r="531" spans="1:25" ht="15" customHeight="1" x14ac:dyDescent="0.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</row>
    <row r="532" spans="1:25" ht="15" customHeight="1" x14ac:dyDescent="0.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</row>
    <row r="533" spans="1:25" ht="15" customHeight="1" x14ac:dyDescent="0.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</row>
    <row r="534" spans="1:25" ht="15" customHeight="1" x14ac:dyDescent="0.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</row>
    <row r="535" spans="1:25" ht="15" customHeight="1" x14ac:dyDescent="0.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</row>
    <row r="536" spans="1:25" ht="15" customHeight="1" x14ac:dyDescent="0.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</row>
    <row r="537" spans="1:25" ht="15" customHeight="1" x14ac:dyDescent="0.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</row>
    <row r="538" spans="1:25" ht="15" customHeight="1" x14ac:dyDescent="0.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</row>
    <row r="539" spans="1:25" ht="15" customHeight="1" x14ac:dyDescent="0.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</row>
    <row r="540" spans="1:25" ht="15" customHeight="1" x14ac:dyDescent="0.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</row>
    <row r="541" spans="1:25" ht="15" customHeight="1" x14ac:dyDescent="0.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</row>
    <row r="542" spans="1:25" ht="15" customHeight="1" x14ac:dyDescent="0.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</row>
    <row r="543" spans="1:25" ht="15" customHeight="1" x14ac:dyDescent="0.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</row>
    <row r="544" spans="1:25" ht="15" customHeight="1" x14ac:dyDescent="0.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</row>
    <row r="545" spans="1:25" ht="15" customHeight="1" x14ac:dyDescent="0.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</row>
    <row r="546" spans="1:25" ht="15" customHeight="1" x14ac:dyDescent="0.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</row>
    <row r="547" spans="1:25" ht="15" customHeight="1" x14ac:dyDescent="0.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</row>
    <row r="548" spans="1:25" ht="15" customHeight="1" x14ac:dyDescent="0.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</row>
    <row r="549" spans="1:25" ht="15" customHeight="1" x14ac:dyDescent="0.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</row>
    <row r="550" spans="1:25" ht="15" customHeight="1" x14ac:dyDescent="0.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</row>
    <row r="551" spans="1:25" ht="15" customHeight="1" x14ac:dyDescent="0.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</row>
    <row r="552" spans="1:25" ht="15" customHeight="1" x14ac:dyDescent="0.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</row>
    <row r="553" spans="1:25" ht="15" customHeight="1" x14ac:dyDescent="0.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</row>
    <row r="554" spans="1:25" ht="15" customHeight="1" x14ac:dyDescent="0.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</row>
    <row r="555" spans="1:25" ht="15" customHeight="1" x14ac:dyDescent="0.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</row>
    <row r="556" spans="1:25" ht="15" customHeight="1" x14ac:dyDescent="0.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</row>
    <row r="557" spans="1:25" ht="15" customHeight="1" x14ac:dyDescent="0.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</row>
    <row r="558" spans="1:25" ht="15" customHeight="1" x14ac:dyDescent="0.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</row>
    <row r="559" spans="1:25" ht="15" customHeight="1" x14ac:dyDescent="0.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</row>
    <row r="560" spans="1:25" ht="15" customHeight="1" x14ac:dyDescent="0.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</row>
    <row r="561" spans="1:25" ht="15" customHeight="1" x14ac:dyDescent="0.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</row>
    <row r="562" spans="1:25" ht="15" customHeight="1" x14ac:dyDescent="0.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</row>
    <row r="563" spans="1:25" ht="15" customHeight="1" x14ac:dyDescent="0.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</row>
    <row r="564" spans="1:25" ht="15" customHeight="1" x14ac:dyDescent="0.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</row>
    <row r="565" spans="1:25" ht="15" customHeight="1" x14ac:dyDescent="0.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</row>
    <row r="566" spans="1:25" ht="15" customHeight="1" x14ac:dyDescent="0.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</row>
    <row r="567" spans="1:25" ht="15" customHeight="1" x14ac:dyDescent="0.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</row>
    <row r="568" spans="1:25" ht="15" customHeight="1" x14ac:dyDescent="0.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</row>
    <row r="569" spans="1:25" ht="15" customHeight="1" x14ac:dyDescent="0.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</row>
    <row r="570" spans="1:25" ht="15" customHeight="1" x14ac:dyDescent="0.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</row>
    <row r="571" spans="1:25" ht="15" customHeight="1" x14ac:dyDescent="0.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</row>
    <row r="572" spans="1:25" ht="15" customHeight="1" x14ac:dyDescent="0.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</row>
    <row r="573" spans="1:25" ht="15" customHeight="1" x14ac:dyDescent="0.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</row>
    <row r="574" spans="1:25" ht="15" customHeight="1" x14ac:dyDescent="0.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</row>
    <row r="575" spans="1:25" ht="15" customHeight="1" x14ac:dyDescent="0.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</row>
    <row r="576" spans="1:25" ht="15" customHeight="1" x14ac:dyDescent="0.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</row>
    <row r="577" spans="1:25" ht="15" customHeight="1" x14ac:dyDescent="0.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</row>
    <row r="578" spans="1:25" ht="15" customHeight="1" x14ac:dyDescent="0.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</row>
    <row r="579" spans="1:25" ht="15" customHeight="1" x14ac:dyDescent="0.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</row>
    <row r="580" spans="1:25" ht="15" customHeight="1" x14ac:dyDescent="0.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</row>
    <row r="581" spans="1:25" ht="15" customHeight="1" x14ac:dyDescent="0.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</row>
    <row r="582" spans="1:25" ht="15" customHeight="1" x14ac:dyDescent="0.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</row>
    <row r="583" spans="1:25" ht="15" customHeight="1" x14ac:dyDescent="0.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</row>
    <row r="584" spans="1:25" ht="15" customHeight="1" x14ac:dyDescent="0.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</row>
    <row r="585" spans="1:25" ht="15" customHeight="1" x14ac:dyDescent="0.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</row>
    <row r="586" spans="1:25" ht="15" customHeight="1" x14ac:dyDescent="0.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</row>
    <row r="587" spans="1:25" ht="15" customHeight="1" x14ac:dyDescent="0.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</row>
    <row r="588" spans="1:25" ht="15" customHeight="1" x14ac:dyDescent="0.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</row>
    <row r="589" spans="1:25" ht="15" customHeight="1" x14ac:dyDescent="0.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</row>
    <row r="590" spans="1:25" ht="15" customHeight="1" x14ac:dyDescent="0.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</row>
    <row r="591" spans="1:25" ht="15" customHeight="1" x14ac:dyDescent="0.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</row>
    <row r="592" spans="1:25" ht="15" customHeight="1" x14ac:dyDescent="0.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</row>
    <row r="593" spans="1:25" ht="15" customHeight="1" x14ac:dyDescent="0.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</row>
    <row r="594" spans="1:25" ht="15" customHeight="1" x14ac:dyDescent="0.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</row>
    <row r="595" spans="1:25" ht="15" customHeight="1" x14ac:dyDescent="0.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</row>
    <row r="596" spans="1:25" ht="15" customHeight="1" x14ac:dyDescent="0.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</row>
    <row r="597" spans="1:25" ht="15" customHeight="1" x14ac:dyDescent="0.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</row>
    <row r="598" spans="1:25" ht="15" customHeight="1" x14ac:dyDescent="0.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</row>
    <row r="599" spans="1:25" ht="15" customHeight="1" x14ac:dyDescent="0.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</row>
    <row r="600" spans="1:25" ht="15" customHeight="1" x14ac:dyDescent="0.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</row>
    <row r="601" spans="1:25" ht="15" customHeight="1" x14ac:dyDescent="0.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</row>
    <row r="602" spans="1:25" ht="15" customHeight="1" x14ac:dyDescent="0.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</row>
    <row r="603" spans="1:25" ht="15" customHeight="1" x14ac:dyDescent="0.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</row>
    <row r="604" spans="1:25" ht="15" customHeight="1" x14ac:dyDescent="0.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</row>
    <row r="605" spans="1:25" ht="15" customHeight="1" x14ac:dyDescent="0.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</row>
    <row r="606" spans="1:25" ht="15" customHeight="1" x14ac:dyDescent="0.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</row>
    <row r="607" spans="1:25" ht="15" customHeight="1" x14ac:dyDescent="0.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</row>
    <row r="608" spans="1:25" ht="15" customHeight="1" x14ac:dyDescent="0.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</row>
    <row r="609" spans="1:25" ht="15" customHeight="1" x14ac:dyDescent="0.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</row>
    <row r="610" spans="1:25" ht="15" customHeight="1" x14ac:dyDescent="0.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</row>
    <row r="611" spans="1:25" ht="15" customHeight="1" x14ac:dyDescent="0.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</row>
    <row r="612" spans="1:25" ht="15" customHeight="1" x14ac:dyDescent="0.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</row>
    <row r="613" spans="1:25" ht="15" customHeight="1" x14ac:dyDescent="0.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</row>
    <row r="614" spans="1:25" ht="15" customHeight="1" x14ac:dyDescent="0.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</row>
    <row r="615" spans="1:25" ht="15" customHeight="1" x14ac:dyDescent="0.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</row>
    <row r="616" spans="1:25" ht="15" customHeight="1" x14ac:dyDescent="0.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</row>
    <row r="617" spans="1:25" ht="15" customHeight="1" x14ac:dyDescent="0.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</row>
    <row r="618" spans="1:25" ht="15" customHeight="1" x14ac:dyDescent="0.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</row>
    <row r="619" spans="1:25" ht="15" customHeight="1" x14ac:dyDescent="0.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</row>
    <row r="620" spans="1:25" ht="15" customHeight="1" x14ac:dyDescent="0.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</row>
    <row r="621" spans="1:25" ht="15" customHeight="1" x14ac:dyDescent="0.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</row>
    <row r="622" spans="1:25" ht="15" customHeight="1" x14ac:dyDescent="0.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</row>
    <row r="623" spans="1:25" ht="15" customHeight="1" x14ac:dyDescent="0.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</row>
    <row r="624" spans="1:25" ht="15" customHeight="1" x14ac:dyDescent="0.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</row>
    <row r="625" spans="1:25" ht="15" customHeight="1" x14ac:dyDescent="0.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</row>
    <row r="626" spans="1:25" ht="15" customHeight="1" x14ac:dyDescent="0.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</row>
    <row r="627" spans="1:25" ht="15" customHeight="1" x14ac:dyDescent="0.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</row>
    <row r="628" spans="1:25" ht="15" customHeight="1" x14ac:dyDescent="0.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</row>
    <row r="629" spans="1:25" ht="15" customHeight="1" x14ac:dyDescent="0.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</row>
    <row r="630" spans="1:25" ht="15" customHeight="1" x14ac:dyDescent="0.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</row>
    <row r="631" spans="1:25" ht="15" customHeight="1" x14ac:dyDescent="0.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</row>
    <row r="632" spans="1:25" ht="15" customHeight="1" x14ac:dyDescent="0.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</row>
    <row r="633" spans="1:25" ht="15" customHeight="1" x14ac:dyDescent="0.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</row>
    <row r="634" spans="1:25" ht="15" customHeight="1" x14ac:dyDescent="0.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</row>
    <row r="635" spans="1:25" ht="15" customHeight="1" x14ac:dyDescent="0.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</row>
    <row r="636" spans="1:25" ht="15" customHeight="1" x14ac:dyDescent="0.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</row>
    <row r="637" spans="1:25" ht="15" customHeight="1" x14ac:dyDescent="0.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</row>
    <row r="638" spans="1:25" ht="15" customHeight="1" x14ac:dyDescent="0.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</row>
    <row r="639" spans="1:25" ht="15" customHeight="1" x14ac:dyDescent="0.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</row>
    <row r="640" spans="1:25" ht="15" customHeight="1" x14ac:dyDescent="0.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</row>
    <row r="641" spans="1:25" ht="15" customHeight="1" x14ac:dyDescent="0.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</row>
    <row r="642" spans="1:25" ht="15" customHeight="1" x14ac:dyDescent="0.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</row>
    <row r="643" spans="1:25" ht="15" customHeight="1" x14ac:dyDescent="0.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</row>
    <row r="644" spans="1:25" ht="15" customHeight="1" x14ac:dyDescent="0.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</row>
    <row r="645" spans="1:25" ht="15" customHeight="1" x14ac:dyDescent="0.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</row>
    <row r="646" spans="1:25" ht="15" customHeight="1" x14ac:dyDescent="0.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</row>
    <row r="647" spans="1:25" ht="15" customHeight="1" x14ac:dyDescent="0.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</row>
    <row r="648" spans="1:25" ht="15" customHeight="1" x14ac:dyDescent="0.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</row>
    <row r="649" spans="1:25" ht="15" customHeight="1" x14ac:dyDescent="0.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</row>
    <row r="650" spans="1:25" ht="15" customHeight="1" x14ac:dyDescent="0.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</row>
    <row r="651" spans="1:25" ht="15" customHeight="1" x14ac:dyDescent="0.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</row>
    <row r="652" spans="1:25" ht="15" customHeight="1" x14ac:dyDescent="0.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</row>
    <row r="653" spans="1:25" ht="15" customHeight="1" x14ac:dyDescent="0.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</row>
    <row r="654" spans="1:25" ht="15" customHeight="1" x14ac:dyDescent="0.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</row>
    <row r="655" spans="1:25" ht="15" customHeight="1" x14ac:dyDescent="0.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</row>
    <row r="656" spans="1:25" ht="15" customHeight="1" x14ac:dyDescent="0.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</row>
    <row r="657" spans="1:25" ht="15" customHeight="1" x14ac:dyDescent="0.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</row>
    <row r="658" spans="1:25" ht="15" customHeight="1" x14ac:dyDescent="0.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</row>
    <row r="659" spans="1:25" ht="15" customHeight="1" x14ac:dyDescent="0.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</row>
    <row r="660" spans="1:25" ht="15" customHeight="1" x14ac:dyDescent="0.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</row>
    <row r="661" spans="1:25" ht="15" customHeight="1" x14ac:dyDescent="0.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</row>
    <row r="662" spans="1:25" ht="15" customHeight="1" x14ac:dyDescent="0.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</row>
    <row r="663" spans="1:25" ht="15" customHeight="1" x14ac:dyDescent="0.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</row>
    <row r="664" spans="1:25" ht="15" customHeight="1" x14ac:dyDescent="0.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</row>
    <row r="665" spans="1:25" ht="15" customHeight="1" x14ac:dyDescent="0.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</row>
    <row r="666" spans="1:25" ht="15" customHeight="1" x14ac:dyDescent="0.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</row>
    <row r="667" spans="1:25" ht="15" customHeight="1" x14ac:dyDescent="0.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</row>
    <row r="668" spans="1:25" ht="15" customHeight="1" x14ac:dyDescent="0.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</row>
    <row r="669" spans="1:25" ht="15" customHeight="1" x14ac:dyDescent="0.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</row>
    <row r="670" spans="1:25" ht="15" customHeight="1" x14ac:dyDescent="0.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</row>
    <row r="671" spans="1:25" ht="15" customHeight="1" x14ac:dyDescent="0.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</row>
    <row r="672" spans="1:25" ht="15" customHeight="1" x14ac:dyDescent="0.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</row>
    <row r="673" spans="1:25" ht="15" customHeight="1" x14ac:dyDescent="0.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</row>
    <row r="674" spans="1:25" ht="15" customHeight="1" x14ac:dyDescent="0.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</row>
    <row r="675" spans="1:25" ht="15" customHeight="1" x14ac:dyDescent="0.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</row>
    <row r="676" spans="1:25" ht="15" customHeight="1" x14ac:dyDescent="0.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</row>
    <row r="677" spans="1:25" ht="15" customHeight="1" x14ac:dyDescent="0.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</row>
    <row r="678" spans="1:25" ht="15" customHeight="1" x14ac:dyDescent="0.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</row>
    <row r="679" spans="1:25" ht="15" customHeight="1" x14ac:dyDescent="0.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</row>
    <row r="680" spans="1:25" ht="15" customHeight="1" x14ac:dyDescent="0.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</row>
    <row r="681" spans="1:25" ht="15" customHeight="1" x14ac:dyDescent="0.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</row>
    <row r="682" spans="1:25" ht="15" customHeight="1" x14ac:dyDescent="0.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</row>
    <row r="683" spans="1:25" ht="15" customHeight="1" x14ac:dyDescent="0.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</row>
    <row r="684" spans="1:25" ht="15" customHeight="1" x14ac:dyDescent="0.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</row>
    <row r="685" spans="1:25" ht="15" customHeight="1" x14ac:dyDescent="0.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</row>
    <row r="686" spans="1:25" ht="15" customHeight="1" x14ac:dyDescent="0.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</row>
    <row r="687" spans="1:25" ht="15" customHeight="1" x14ac:dyDescent="0.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</row>
    <row r="688" spans="1:25" ht="15" customHeight="1" x14ac:dyDescent="0.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</row>
    <row r="689" spans="1:25" ht="15" customHeight="1" x14ac:dyDescent="0.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</row>
    <row r="690" spans="1:25" ht="15" customHeight="1" x14ac:dyDescent="0.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</row>
    <row r="691" spans="1:25" ht="15" customHeight="1" x14ac:dyDescent="0.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</row>
    <row r="692" spans="1:25" ht="15" customHeight="1" x14ac:dyDescent="0.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</row>
    <row r="693" spans="1:25" ht="15" customHeight="1" x14ac:dyDescent="0.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</row>
    <row r="694" spans="1:25" ht="15" customHeight="1" x14ac:dyDescent="0.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</row>
    <row r="695" spans="1:25" ht="15" customHeight="1" x14ac:dyDescent="0.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</row>
    <row r="696" spans="1:25" ht="15" customHeight="1" x14ac:dyDescent="0.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</row>
    <row r="697" spans="1:25" ht="15" customHeight="1" x14ac:dyDescent="0.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</row>
    <row r="698" spans="1:25" ht="15" customHeight="1" x14ac:dyDescent="0.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</row>
    <row r="699" spans="1:25" ht="15" customHeight="1" x14ac:dyDescent="0.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</row>
    <row r="700" spans="1:25" ht="15" customHeight="1" x14ac:dyDescent="0.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</row>
    <row r="701" spans="1:25" ht="15" customHeight="1" x14ac:dyDescent="0.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</row>
    <row r="702" spans="1:25" ht="15" customHeight="1" x14ac:dyDescent="0.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</row>
    <row r="703" spans="1:25" ht="15" customHeight="1" x14ac:dyDescent="0.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</row>
    <row r="704" spans="1:25" ht="15" customHeight="1" x14ac:dyDescent="0.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</row>
    <row r="705" spans="1:25" ht="15" customHeight="1" x14ac:dyDescent="0.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</row>
    <row r="706" spans="1:25" ht="15" customHeight="1" x14ac:dyDescent="0.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</row>
    <row r="707" spans="1:25" ht="15" customHeight="1" x14ac:dyDescent="0.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</row>
    <row r="708" spans="1:25" ht="15" customHeight="1" x14ac:dyDescent="0.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</row>
    <row r="709" spans="1:25" ht="15" customHeight="1" x14ac:dyDescent="0.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</row>
    <row r="710" spans="1:25" ht="15" customHeight="1" x14ac:dyDescent="0.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</row>
    <row r="711" spans="1:25" ht="15" customHeight="1" x14ac:dyDescent="0.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</row>
    <row r="712" spans="1:25" ht="15" customHeight="1" x14ac:dyDescent="0.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</row>
    <row r="713" spans="1:25" ht="15" customHeight="1" x14ac:dyDescent="0.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</row>
    <row r="714" spans="1:25" ht="15" customHeight="1" x14ac:dyDescent="0.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</row>
    <row r="715" spans="1:25" ht="15" customHeight="1" x14ac:dyDescent="0.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</row>
    <row r="716" spans="1:25" ht="15" customHeight="1" x14ac:dyDescent="0.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</row>
    <row r="717" spans="1:25" ht="15" customHeight="1" x14ac:dyDescent="0.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</row>
    <row r="718" spans="1:25" ht="15" customHeight="1" x14ac:dyDescent="0.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</row>
    <row r="719" spans="1:25" ht="15" customHeight="1" x14ac:dyDescent="0.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</row>
    <row r="720" spans="1:25" ht="15" customHeight="1" x14ac:dyDescent="0.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</row>
    <row r="721" spans="1:25" ht="15" customHeight="1" x14ac:dyDescent="0.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</row>
    <row r="722" spans="1:25" ht="15" customHeight="1" x14ac:dyDescent="0.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</row>
    <row r="723" spans="1:25" ht="15" customHeight="1" x14ac:dyDescent="0.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</row>
    <row r="724" spans="1:25" ht="15" customHeight="1" x14ac:dyDescent="0.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</row>
    <row r="725" spans="1:25" ht="15" customHeight="1" x14ac:dyDescent="0.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</row>
    <row r="726" spans="1:25" ht="15" customHeight="1" x14ac:dyDescent="0.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</row>
    <row r="727" spans="1:25" ht="15" customHeight="1" x14ac:dyDescent="0.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</row>
    <row r="728" spans="1:25" ht="15" customHeight="1" x14ac:dyDescent="0.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</row>
    <row r="729" spans="1:25" ht="15" customHeight="1" x14ac:dyDescent="0.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</row>
    <row r="730" spans="1:25" ht="15" customHeight="1" x14ac:dyDescent="0.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</row>
    <row r="731" spans="1:25" ht="15" customHeight="1" x14ac:dyDescent="0.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</row>
    <row r="732" spans="1:25" ht="15" customHeight="1" x14ac:dyDescent="0.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</row>
    <row r="733" spans="1:25" ht="15" customHeight="1" x14ac:dyDescent="0.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</row>
    <row r="734" spans="1:25" ht="15" customHeight="1" x14ac:dyDescent="0.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</row>
    <row r="735" spans="1:25" ht="15" customHeight="1" x14ac:dyDescent="0.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</row>
    <row r="736" spans="1:25" ht="15" customHeight="1" x14ac:dyDescent="0.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</row>
    <row r="737" spans="1:25" ht="15" customHeight="1" x14ac:dyDescent="0.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</row>
    <row r="738" spans="1:25" ht="15" customHeight="1" x14ac:dyDescent="0.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</row>
    <row r="739" spans="1:25" ht="15" customHeight="1" x14ac:dyDescent="0.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</row>
    <row r="740" spans="1:25" ht="15" customHeight="1" x14ac:dyDescent="0.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</row>
    <row r="741" spans="1:25" ht="15" customHeight="1" x14ac:dyDescent="0.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</row>
    <row r="742" spans="1:25" ht="15" customHeight="1" x14ac:dyDescent="0.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</row>
    <row r="743" spans="1:25" ht="15" customHeight="1" x14ac:dyDescent="0.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</row>
    <row r="744" spans="1:25" ht="15" customHeight="1" x14ac:dyDescent="0.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</row>
    <row r="745" spans="1:25" ht="15" customHeight="1" x14ac:dyDescent="0.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</row>
    <row r="746" spans="1:25" ht="15" customHeight="1" x14ac:dyDescent="0.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</row>
    <row r="747" spans="1:25" ht="15" customHeight="1" x14ac:dyDescent="0.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</row>
    <row r="748" spans="1:25" ht="15" customHeight="1" x14ac:dyDescent="0.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</row>
    <row r="749" spans="1:25" ht="15" customHeight="1" x14ac:dyDescent="0.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</row>
    <row r="750" spans="1:25" ht="15" customHeight="1" x14ac:dyDescent="0.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</row>
    <row r="751" spans="1:25" ht="15" customHeight="1" x14ac:dyDescent="0.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</row>
    <row r="752" spans="1:25" ht="15" customHeight="1" x14ac:dyDescent="0.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</row>
    <row r="753" spans="1:25" ht="15" customHeight="1" x14ac:dyDescent="0.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</row>
    <row r="754" spans="1:25" ht="15" customHeight="1" x14ac:dyDescent="0.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</row>
    <row r="755" spans="1:25" ht="15" customHeight="1" x14ac:dyDescent="0.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</row>
    <row r="756" spans="1:25" ht="15" customHeight="1" x14ac:dyDescent="0.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</row>
    <row r="757" spans="1:25" ht="15" customHeight="1" x14ac:dyDescent="0.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</row>
    <row r="758" spans="1:25" ht="15" customHeight="1" x14ac:dyDescent="0.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</row>
    <row r="759" spans="1:25" ht="15" customHeight="1" x14ac:dyDescent="0.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</row>
    <row r="760" spans="1:25" ht="15" customHeight="1" x14ac:dyDescent="0.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</row>
    <row r="761" spans="1:25" ht="15" customHeight="1" x14ac:dyDescent="0.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</row>
    <row r="762" spans="1:25" ht="15" customHeight="1" x14ac:dyDescent="0.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</row>
    <row r="763" spans="1:25" ht="15" customHeight="1" x14ac:dyDescent="0.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</row>
    <row r="764" spans="1:25" ht="15" customHeight="1" x14ac:dyDescent="0.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</row>
    <row r="765" spans="1:25" ht="15" customHeight="1" x14ac:dyDescent="0.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</row>
    <row r="766" spans="1:25" ht="15" customHeight="1" x14ac:dyDescent="0.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</row>
    <row r="767" spans="1:25" ht="15" customHeight="1" x14ac:dyDescent="0.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</row>
    <row r="768" spans="1:25" ht="15" customHeight="1" x14ac:dyDescent="0.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</row>
    <row r="769" spans="1:25" ht="15" customHeight="1" x14ac:dyDescent="0.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</row>
    <row r="770" spans="1:25" ht="15" customHeight="1" x14ac:dyDescent="0.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</row>
    <row r="771" spans="1:25" ht="15" customHeight="1" x14ac:dyDescent="0.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</row>
    <row r="772" spans="1:25" ht="15" customHeight="1" x14ac:dyDescent="0.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</row>
    <row r="773" spans="1:25" ht="15" customHeight="1" x14ac:dyDescent="0.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</row>
    <row r="774" spans="1:25" ht="15" customHeight="1" x14ac:dyDescent="0.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</row>
    <row r="775" spans="1:25" ht="15" customHeight="1" x14ac:dyDescent="0.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</row>
    <row r="776" spans="1:25" ht="15" customHeight="1" x14ac:dyDescent="0.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</row>
    <row r="777" spans="1:25" ht="15" customHeight="1" x14ac:dyDescent="0.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</row>
    <row r="778" spans="1:25" ht="15" customHeight="1" x14ac:dyDescent="0.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</row>
    <row r="779" spans="1:25" ht="15" customHeight="1" x14ac:dyDescent="0.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</row>
    <row r="780" spans="1:25" ht="15" customHeight="1" x14ac:dyDescent="0.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</row>
    <row r="781" spans="1:25" ht="15" customHeight="1" x14ac:dyDescent="0.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</row>
    <row r="782" spans="1:25" ht="15" customHeight="1" x14ac:dyDescent="0.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</row>
    <row r="783" spans="1:25" ht="15" customHeight="1" x14ac:dyDescent="0.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</row>
    <row r="784" spans="1:25" ht="15" customHeight="1" x14ac:dyDescent="0.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</row>
    <row r="785" spans="1:25" ht="15" customHeight="1" x14ac:dyDescent="0.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</row>
    <row r="786" spans="1:25" ht="15" customHeight="1" x14ac:dyDescent="0.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</row>
    <row r="787" spans="1:25" ht="15" customHeight="1" x14ac:dyDescent="0.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</row>
    <row r="788" spans="1:25" ht="15" customHeight="1" x14ac:dyDescent="0.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</row>
    <row r="789" spans="1:25" ht="15" customHeight="1" x14ac:dyDescent="0.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</row>
    <row r="790" spans="1:25" ht="15" customHeight="1" x14ac:dyDescent="0.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</row>
    <row r="791" spans="1:25" ht="15" customHeight="1" x14ac:dyDescent="0.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</row>
    <row r="792" spans="1:25" ht="15" customHeight="1" x14ac:dyDescent="0.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</row>
    <row r="793" spans="1:25" ht="15" customHeight="1" x14ac:dyDescent="0.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</row>
    <row r="794" spans="1:25" ht="15" customHeight="1" x14ac:dyDescent="0.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</row>
    <row r="795" spans="1:25" ht="15" customHeight="1" x14ac:dyDescent="0.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</row>
    <row r="796" spans="1:25" ht="15" customHeight="1" x14ac:dyDescent="0.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</row>
    <row r="797" spans="1:25" ht="15" customHeight="1" x14ac:dyDescent="0.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</row>
    <row r="798" spans="1:25" ht="15" customHeight="1" x14ac:dyDescent="0.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</row>
    <row r="799" spans="1:25" ht="15" customHeight="1" x14ac:dyDescent="0.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</row>
    <row r="800" spans="1:25" ht="15" customHeight="1" x14ac:dyDescent="0.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</row>
    <row r="801" spans="1:25" ht="15" customHeight="1" x14ac:dyDescent="0.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</row>
    <row r="802" spans="1:25" ht="15" customHeight="1" x14ac:dyDescent="0.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</row>
    <row r="803" spans="1:25" ht="15" customHeight="1" x14ac:dyDescent="0.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</row>
    <row r="804" spans="1:25" ht="15" customHeight="1" x14ac:dyDescent="0.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</row>
    <row r="805" spans="1:25" ht="15" customHeight="1" x14ac:dyDescent="0.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</row>
    <row r="806" spans="1:25" ht="15" customHeight="1" x14ac:dyDescent="0.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</row>
    <row r="807" spans="1:25" ht="15" customHeight="1" x14ac:dyDescent="0.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</row>
    <row r="808" spans="1:25" ht="15" customHeight="1" x14ac:dyDescent="0.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</row>
    <row r="809" spans="1:25" ht="15" customHeight="1" x14ac:dyDescent="0.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</row>
    <row r="810" spans="1:25" ht="15" customHeight="1" x14ac:dyDescent="0.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</row>
    <row r="811" spans="1:25" ht="15" customHeight="1" x14ac:dyDescent="0.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</row>
    <row r="812" spans="1:25" ht="15" customHeight="1" x14ac:dyDescent="0.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</row>
    <row r="813" spans="1:25" ht="15" customHeight="1" x14ac:dyDescent="0.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</row>
    <row r="814" spans="1:25" ht="15" customHeight="1" x14ac:dyDescent="0.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</row>
    <row r="815" spans="1:25" ht="15" customHeight="1" x14ac:dyDescent="0.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</row>
    <row r="816" spans="1:25" ht="15" customHeight="1" x14ac:dyDescent="0.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</row>
    <row r="817" spans="1:25" ht="15" customHeight="1" x14ac:dyDescent="0.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</row>
    <row r="818" spans="1:25" ht="15" customHeight="1" x14ac:dyDescent="0.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</row>
    <row r="819" spans="1:25" ht="15" customHeight="1" x14ac:dyDescent="0.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</row>
    <row r="820" spans="1:25" ht="15" customHeight="1" x14ac:dyDescent="0.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</row>
    <row r="821" spans="1:25" ht="15" customHeight="1" x14ac:dyDescent="0.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</row>
    <row r="822" spans="1:25" ht="15" customHeight="1" x14ac:dyDescent="0.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</row>
    <row r="823" spans="1:25" ht="15" customHeight="1" x14ac:dyDescent="0.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</row>
    <row r="824" spans="1:25" ht="15" customHeight="1" x14ac:dyDescent="0.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</row>
    <row r="825" spans="1:25" ht="15" customHeight="1" x14ac:dyDescent="0.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</row>
    <row r="826" spans="1:25" ht="15" customHeight="1" x14ac:dyDescent="0.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</row>
    <row r="827" spans="1:25" ht="15" customHeight="1" x14ac:dyDescent="0.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</row>
    <row r="828" spans="1:25" ht="15" customHeight="1" x14ac:dyDescent="0.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</row>
    <row r="829" spans="1:25" ht="15" customHeight="1" x14ac:dyDescent="0.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</row>
    <row r="830" spans="1:25" ht="15" customHeight="1" x14ac:dyDescent="0.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</row>
    <row r="831" spans="1:25" ht="15" customHeight="1" x14ac:dyDescent="0.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</row>
    <row r="832" spans="1:25" ht="15" customHeight="1" x14ac:dyDescent="0.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</row>
    <row r="833" spans="1:25" ht="15" customHeight="1" x14ac:dyDescent="0.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</row>
    <row r="834" spans="1:25" ht="15" customHeight="1" x14ac:dyDescent="0.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</row>
    <row r="835" spans="1:25" ht="15" customHeight="1" x14ac:dyDescent="0.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</row>
    <row r="836" spans="1:25" ht="15" customHeight="1" x14ac:dyDescent="0.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</row>
    <row r="837" spans="1:25" ht="15" customHeight="1" x14ac:dyDescent="0.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</row>
    <row r="838" spans="1:25" ht="15" customHeight="1" x14ac:dyDescent="0.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</row>
    <row r="839" spans="1:25" ht="15" customHeight="1" x14ac:dyDescent="0.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</row>
    <row r="840" spans="1:25" ht="15" customHeight="1" x14ac:dyDescent="0.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</row>
    <row r="841" spans="1:25" ht="15" customHeight="1" x14ac:dyDescent="0.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</row>
    <row r="842" spans="1:25" ht="15" customHeight="1" x14ac:dyDescent="0.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</row>
    <row r="843" spans="1:25" ht="15" customHeight="1" x14ac:dyDescent="0.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</row>
    <row r="844" spans="1:25" ht="15" customHeight="1" x14ac:dyDescent="0.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</row>
    <row r="845" spans="1:25" ht="15" customHeight="1" x14ac:dyDescent="0.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</row>
    <row r="846" spans="1:25" ht="15" customHeight="1" x14ac:dyDescent="0.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</row>
    <row r="847" spans="1:25" ht="15" customHeight="1" x14ac:dyDescent="0.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</row>
    <row r="848" spans="1:25" ht="15" customHeight="1" x14ac:dyDescent="0.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</row>
    <row r="849" spans="1:25" ht="15" customHeight="1" x14ac:dyDescent="0.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</row>
    <row r="850" spans="1:25" ht="15" customHeight="1" x14ac:dyDescent="0.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</row>
    <row r="851" spans="1:25" ht="15" customHeight="1" x14ac:dyDescent="0.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</row>
    <row r="852" spans="1:25" ht="15" customHeight="1" x14ac:dyDescent="0.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</row>
    <row r="853" spans="1:25" ht="15" customHeight="1" x14ac:dyDescent="0.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</row>
    <row r="854" spans="1:25" ht="15" customHeight="1" x14ac:dyDescent="0.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</row>
    <row r="855" spans="1:25" ht="15" customHeight="1" x14ac:dyDescent="0.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</row>
    <row r="856" spans="1:25" ht="15" customHeight="1" x14ac:dyDescent="0.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</row>
    <row r="857" spans="1:25" ht="15" customHeight="1" x14ac:dyDescent="0.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</row>
    <row r="858" spans="1:25" ht="15" customHeight="1" x14ac:dyDescent="0.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</row>
    <row r="859" spans="1:25" ht="15" customHeight="1" x14ac:dyDescent="0.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</row>
    <row r="860" spans="1:25" ht="15" customHeight="1" x14ac:dyDescent="0.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</row>
    <row r="861" spans="1:25" ht="15" customHeight="1" x14ac:dyDescent="0.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</row>
    <row r="862" spans="1:25" ht="15" customHeight="1" x14ac:dyDescent="0.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</row>
    <row r="863" spans="1:25" ht="15" customHeight="1" x14ac:dyDescent="0.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</row>
    <row r="864" spans="1:25" ht="15" customHeight="1" x14ac:dyDescent="0.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</row>
    <row r="865" spans="1:25" ht="15" customHeight="1" x14ac:dyDescent="0.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</row>
    <row r="866" spans="1:25" ht="15" customHeight="1" x14ac:dyDescent="0.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</row>
    <row r="867" spans="1:25" ht="15" customHeight="1" x14ac:dyDescent="0.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</row>
    <row r="868" spans="1:25" ht="15" customHeight="1" x14ac:dyDescent="0.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</row>
    <row r="869" spans="1:25" ht="15" customHeight="1" x14ac:dyDescent="0.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</row>
    <row r="870" spans="1:25" ht="15" customHeight="1" x14ac:dyDescent="0.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</row>
    <row r="871" spans="1:25" ht="15" customHeight="1" x14ac:dyDescent="0.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</row>
    <row r="872" spans="1:25" ht="15" customHeight="1" x14ac:dyDescent="0.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</row>
    <row r="873" spans="1:25" ht="15" customHeight="1" x14ac:dyDescent="0.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</row>
    <row r="874" spans="1:25" ht="15" customHeight="1" x14ac:dyDescent="0.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</row>
    <row r="875" spans="1:25" ht="15" customHeight="1" x14ac:dyDescent="0.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</row>
    <row r="876" spans="1:25" ht="15" customHeight="1" x14ac:dyDescent="0.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</row>
    <row r="877" spans="1:25" ht="15" customHeight="1" x14ac:dyDescent="0.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</row>
    <row r="878" spans="1:25" ht="15" customHeight="1" x14ac:dyDescent="0.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</row>
    <row r="879" spans="1:25" ht="15" customHeight="1" x14ac:dyDescent="0.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</row>
    <row r="880" spans="1:25" ht="15" customHeight="1" x14ac:dyDescent="0.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</row>
    <row r="881" spans="1:25" ht="15" customHeight="1" x14ac:dyDescent="0.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</row>
    <row r="882" spans="1:25" ht="15" customHeight="1" x14ac:dyDescent="0.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</row>
    <row r="883" spans="1:25" ht="15" customHeight="1" x14ac:dyDescent="0.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</row>
    <row r="884" spans="1:25" ht="15" customHeight="1" x14ac:dyDescent="0.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</row>
    <row r="885" spans="1:25" ht="15" customHeight="1" x14ac:dyDescent="0.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</row>
    <row r="886" spans="1:25" ht="15" customHeight="1" x14ac:dyDescent="0.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</row>
    <row r="887" spans="1:25" ht="15" customHeight="1" x14ac:dyDescent="0.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</row>
    <row r="888" spans="1:25" ht="15" customHeight="1" x14ac:dyDescent="0.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</row>
    <row r="889" spans="1:25" ht="15" customHeight="1" x14ac:dyDescent="0.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</row>
    <row r="890" spans="1:25" ht="15" customHeight="1" x14ac:dyDescent="0.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</row>
    <row r="891" spans="1:25" ht="15" customHeight="1" x14ac:dyDescent="0.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</row>
    <row r="892" spans="1:25" ht="15" customHeight="1" x14ac:dyDescent="0.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</row>
    <row r="893" spans="1:25" ht="15" customHeight="1" x14ac:dyDescent="0.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</row>
    <row r="894" spans="1:25" ht="15" customHeight="1" x14ac:dyDescent="0.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</row>
    <row r="895" spans="1:25" ht="15" customHeight="1" x14ac:dyDescent="0.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</row>
    <row r="896" spans="1:25" ht="15" customHeight="1" x14ac:dyDescent="0.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</row>
    <row r="897" spans="1:25" ht="15" customHeight="1" x14ac:dyDescent="0.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</row>
    <row r="898" spans="1:25" ht="15" customHeight="1" x14ac:dyDescent="0.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</row>
    <row r="899" spans="1:25" ht="15" customHeight="1" x14ac:dyDescent="0.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</row>
    <row r="900" spans="1:25" ht="15" customHeight="1" x14ac:dyDescent="0.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</row>
    <row r="901" spans="1:25" ht="15" customHeight="1" x14ac:dyDescent="0.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</row>
    <row r="902" spans="1:25" ht="15" customHeight="1" x14ac:dyDescent="0.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</row>
    <row r="903" spans="1:25" ht="15" customHeight="1" x14ac:dyDescent="0.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</row>
    <row r="904" spans="1:25" ht="15" customHeight="1" x14ac:dyDescent="0.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</row>
    <row r="905" spans="1:25" ht="15" customHeight="1" x14ac:dyDescent="0.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</row>
    <row r="906" spans="1:25" ht="15" customHeight="1" x14ac:dyDescent="0.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</row>
    <row r="907" spans="1:25" ht="15" customHeight="1" x14ac:dyDescent="0.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</row>
    <row r="908" spans="1:25" ht="15" customHeight="1" x14ac:dyDescent="0.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</row>
    <row r="909" spans="1:25" ht="15" customHeight="1" x14ac:dyDescent="0.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</row>
    <row r="910" spans="1:25" ht="15" customHeight="1" x14ac:dyDescent="0.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</row>
    <row r="911" spans="1:25" ht="15" customHeight="1" x14ac:dyDescent="0.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</row>
    <row r="912" spans="1:25" ht="15" customHeight="1" x14ac:dyDescent="0.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</row>
    <row r="913" spans="1:25" ht="15" customHeight="1" x14ac:dyDescent="0.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</row>
    <row r="914" spans="1:25" ht="15" customHeight="1" x14ac:dyDescent="0.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</row>
    <row r="915" spans="1:25" ht="15" customHeight="1" x14ac:dyDescent="0.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</row>
    <row r="916" spans="1:25" ht="15" customHeight="1" x14ac:dyDescent="0.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</row>
    <row r="917" spans="1:25" ht="15" customHeight="1" x14ac:dyDescent="0.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</row>
    <row r="918" spans="1:25" ht="15" customHeight="1" x14ac:dyDescent="0.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</row>
    <row r="919" spans="1:25" ht="15" customHeight="1" x14ac:dyDescent="0.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</row>
    <row r="920" spans="1:25" ht="15" customHeight="1" x14ac:dyDescent="0.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</row>
    <row r="921" spans="1:25" ht="15" customHeight="1" x14ac:dyDescent="0.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</row>
    <row r="922" spans="1:25" ht="15" customHeight="1" x14ac:dyDescent="0.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</row>
    <row r="923" spans="1:25" ht="15" customHeight="1" x14ac:dyDescent="0.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</row>
    <row r="924" spans="1:25" ht="15" customHeight="1" x14ac:dyDescent="0.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</row>
    <row r="925" spans="1:25" ht="15" customHeight="1" x14ac:dyDescent="0.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</row>
    <row r="926" spans="1:25" ht="15" customHeight="1" x14ac:dyDescent="0.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</row>
    <row r="927" spans="1:25" ht="15" customHeight="1" x14ac:dyDescent="0.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</row>
    <row r="928" spans="1:25" ht="15" customHeight="1" x14ac:dyDescent="0.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</row>
    <row r="929" spans="1:25" ht="15" customHeight="1" x14ac:dyDescent="0.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</row>
    <row r="930" spans="1:25" ht="15" customHeight="1" x14ac:dyDescent="0.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</row>
    <row r="931" spans="1:25" ht="15" customHeight="1" x14ac:dyDescent="0.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</row>
    <row r="932" spans="1:25" ht="15" customHeight="1" x14ac:dyDescent="0.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</row>
    <row r="933" spans="1:25" ht="15" customHeight="1" x14ac:dyDescent="0.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</row>
    <row r="934" spans="1:25" ht="15" customHeight="1" x14ac:dyDescent="0.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</row>
    <row r="935" spans="1:25" ht="15" customHeight="1" x14ac:dyDescent="0.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</row>
    <row r="936" spans="1:25" ht="15" customHeight="1" x14ac:dyDescent="0.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</row>
    <row r="937" spans="1:25" ht="15" customHeight="1" x14ac:dyDescent="0.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</row>
    <row r="938" spans="1:25" ht="15" customHeight="1" x14ac:dyDescent="0.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</row>
    <row r="939" spans="1:25" ht="15" customHeight="1" x14ac:dyDescent="0.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</row>
    <row r="940" spans="1:25" ht="15" customHeight="1" x14ac:dyDescent="0.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</row>
    <row r="941" spans="1:25" ht="15" customHeight="1" x14ac:dyDescent="0.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</row>
    <row r="942" spans="1:25" ht="15" customHeight="1" x14ac:dyDescent="0.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</row>
    <row r="943" spans="1:25" ht="15" customHeight="1" x14ac:dyDescent="0.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</row>
    <row r="944" spans="1:25" ht="15" customHeight="1" x14ac:dyDescent="0.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</row>
    <row r="945" spans="1:25" ht="15" customHeight="1" x14ac:dyDescent="0.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</row>
    <row r="946" spans="1:25" ht="15" customHeight="1" x14ac:dyDescent="0.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</row>
    <row r="947" spans="1:25" ht="15" customHeight="1" x14ac:dyDescent="0.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</row>
    <row r="948" spans="1:25" ht="15" customHeight="1" x14ac:dyDescent="0.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</row>
    <row r="949" spans="1:25" ht="15" customHeight="1" x14ac:dyDescent="0.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</row>
    <row r="950" spans="1:25" ht="15" customHeight="1" x14ac:dyDescent="0.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</row>
    <row r="951" spans="1:25" ht="15" customHeight="1" x14ac:dyDescent="0.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</row>
    <row r="952" spans="1:25" ht="15" customHeight="1" x14ac:dyDescent="0.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</row>
    <row r="953" spans="1:25" ht="15" customHeight="1" x14ac:dyDescent="0.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</row>
    <row r="954" spans="1:25" ht="15" customHeight="1" x14ac:dyDescent="0.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</row>
    <row r="955" spans="1:25" ht="15" customHeight="1" x14ac:dyDescent="0.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</row>
    <row r="956" spans="1:25" ht="15" customHeight="1" x14ac:dyDescent="0.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</row>
    <row r="957" spans="1:25" ht="15" customHeight="1" x14ac:dyDescent="0.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</row>
    <row r="958" spans="1:25" ht="15" customHeight="1" x14ac:dyDescent="0.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</row>
    <row r="959" spans="1:25" ht="15" customHeight="1" x14ac:dyDescent="0.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</row>
    <row r="960" spans="1:25" ht="15" customHeight="1" x14ac:dyDescent="0.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</row>
    <row r="961" spans="1:25" ht="15" customHeight="1" x14ac:dyDescent="0.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</row>
    <row r="962" spans="1:25" ht="15" customHeight="1" x14ac:dyDescent="0.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</row>
    <row r="963" spans="1:25" ht="15" customHeight="1" x14ac:dyDescent="0.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</row>
    <row r="964" spans="1:25" ht="15" customHeight="1" x14ac:dyDescent="0.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</row>
    <row r="965" spans="1:25" ht="15" customHeight="1" x14ac:dyDescent="0.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</row>
    <row r="966" spans="1:25" ht="15" customHeight="1" x14ac:dyDescent="0.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</row>
    <row r="967" spans="1:25" ht="15" customHeight="1" x14ac:dyDescent="0.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</row>
    <row r="968" spans="1:25" ht="15" customHeight="1" x14ac:dyDescent="0.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</row>
    <row r="969" spans="1:25" ht="15" customHeight="1" x14ac:dyDescent="0.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</row>
    <row r="970" spans="1:25" ht="15" customHeight="1" x14ac:dyDescent="0.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</row>
    <row r="971" spans="1:25" ht="15" customHeight="1" x14ac:dyDescent="0.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</row>
    <row r="972" spans="1:25" ht="15" customHeight="1" x14ac:dyDescent="0.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</row>
    <row r="973" spans="1:25" ht="15" customHeight="1" x14ac:dyDescent="0.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</row>
    <row r="974" spans="1:25" ht="15" customHeight="1" x14ac:dyDescent="0.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</row>
    <row r="975" spans="1:25" ht="15" customHeight="1" x14ac:dyDescent="0.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</row>
    <row r="976" spans="1:25" ht="15" customHeight="1" x14ac:dyDescent="0.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</row>
    <row r="977" spans="1:25" ht="15" customHeight="1" x14ac:dyDescent="0.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</row>
    <row r="978" spans="1:25" ht="15" customHeight="1" x14ac:dyDescent="0.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</row>
    <row r="979" spans="1:25" ht="15" customHeight="1" x14ac:dyDescent="0.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</row>
    <row r="980" spans="1:25" ht="15" customHeight="1" x14ac:dyDescent="0.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</row>
    <row r="981" spans="1:25" ht="15" customHeight="1" x14ac:dyDescent="0.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</row>
    <row r="982" spans="1:25" ht="15" customHeight="1" x14ac:dyDescent="0.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</row>
    <row r="983" spans="1:25" ht="15" customHeight="1" x14ac:dyDescent="0.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</row>
    <row r="984" spans="1:25" ht="15" customHeight="1" x14ac:dyDescent="0.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</row>
    <row r="985" spans="1:25" ht="15" customHeight="1" x14ac:dyDescent="0.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</row>
    <row r="986" spans="1:25" ht="15" customHeight="1" x14ac:dyDescent="0.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</row>
    <row r="987" spans="1:25" ht="15" customHeight="1" x14ac:dyDescent="0.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</row>
    <row r="988" spans="1:25" ht="15" customHeight="1" x14ac:dyDescent="0.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</row>
    <row r="989" spans="1:25" ht="15" customHeight="1" x14ac:dyDescent="0.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</row>
    <row r="990" spans="1:25" ht="15" customHeight="1" x14ac:dyDescent="0.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</row>
    <row r="991" spans="1:25" ht="15" customHeight="1" x14ac:dyDescent="0.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</row>
    <row r="992" spans="1:25" ht="15" customHeight="1" x14ac:dyDescent="0.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</row>
    <row r="993" spans="1:25" ht="15" customHeight="1" x14ac:dyDescent="0.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</row>
    <row r="994" spans="1:25" ht="15" customHeight="1" x14ac:dyDescent="0.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S994" s="5"/>
      <c r="T994" s="5"/>
      <c r="U994" s="5"/>
      <c r="V994" s="5"/>
      <c r="W994" s="5"/>
      <c r="X994" s="5"/>
      <c r="Y994" s="5"/>
    </row>
    <row r="995" spans="1:25" ht="15" customHeight="1" x14ac:dyDescent="0.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S995" s="5"/>
      <c r="T995" s="5"/>
      <c r="U995" s="5"/>
      <c r="V995" s="5"/>
      <c r="W995" s="5"/>
      <c r="X995" s="5"/>
      <c r="Y995" s="5"/>
    </row>
    <row r="996" spans="1:25" ht="15" customHeight="1" x14ac:dyDescent="0.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S996" s="5"/>
      <c r="T996" s="5"/>
      <c r="U996" s="5"/>
      <c r="V996" s="5"/>
      <c r="W996" s="5"/>
      <c r="X996" s="5"/>
      <c r="Y996" s="5"/>
    </row>
    <row r="997" spans="1:25" ht="15" customHeight="1" x14ac:dyDescent="0.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S997" s="5"/>
      <c r="T997" s="5"/>
      <c r="U997" s="5"/>
      <c r="V997" s="5"/>
      <c r="W997" s="5"/>
      <c r="X997" s="5"/>
      <c r="Y997" s="5"/>
    </row>
    <row r="998" spans="1:25" ht="15" customHeight="1" x14ac:dyDescent="0.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S998" s="5"/>
      <c r="T998" s="5"/>
      <c r="U998" s="5"/>
      <c r="V998" s="5"/>
      <c r="W998" s="5"/>
      <c r="X998" s="5"/>
      <c r="Y998" s="5"/>
    </row>
    <row r="999" spans="1:25" ht="15" customHeight="1" x14ac:dyDescent="0.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S999" s="5"/>
      <c r="T999" s="5"/>
      <c r="U999" s="5"/>
      <c r="V999" s="5"/>
      <c r="W999" s="5"/>
      <c r="X999" s="5"/>
      <c r="Y999" s="5"/>
    </row>
    <row r="1000" spans="1:25" ht="15" customHeight="1" x14ac:dyDescent="0.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S1000" s="5"/>
      <c r="T1000" s="5"/>
      <c r="U1000" s="5"/>
      <c r="V1000" s="5"/>
      <c r="W1000" s="5"/>
      <c r="X1000" s="5"/>
      <c r="Y1000" s="5"/>
    </row>
    <row r="1001" spans="1:25" ht="15" customHeight="1" x14ac:dyDescent="0.5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S1001" s="5"/>
      <c r="T1001" s="5"/>
      <c r="U1001" s="5"/>
      <c r="V1001" s="5"/>
      <c r="W1001" s="5"/>
      <c r="X1001" s="5"/>
      <c r="Y1001" s="5"/>
    </row>
    <row r="1002" spans="1:25" ht="15" customHeight="1" x14ac:dyDescent="0.5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S1002" s="5"/>
      <c r="T1002" s="5"/>
      <c r="U1002" s="5"/>
      <c r="V1002" s="5"/>
      <c r="W1002" s="5"/>
      <c r="X1002" s="5"/>
      <c r="Y1002" s="5"/>
    </row>
    <row r="1003" spans="1:25" ht="15" customHeight="1" x14ac:dyDescent="0.5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S1003" s="5"/>
      <c r="T1003" s="5"/>
      <c r="U1003" s="5"/>
      <c r="V1003" s="5"/>
      <c r="W1003" s="5"/>
      <c r="X1003" s="5"/>
      <c r="Y1003" s="5"/>
    </row>
    <row r="1004" spans="1:25" ht="15" customHeight="1" x14ac:dyDescent="0.5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S1004" s="5"/>
      <c r="T1004" s="5"/>
      <c r="U1004" s="5"/>
      <c r="V1004" s="5"/>
      <c r="W1004" s="5"/>
      <c r="X1004" s="5"/>
      <c r="Y1004" s="5"/>
    </row>
    <row r="1005" spans="1:25" ht="15" customHeight="1" x14ac:dyDescent="0.5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S1005" s="5"/>
      <c r="T1005" s="5"/>
      <c r="U1005" s="5"/>
      <c r="V1005" s="5"/>
      <c r="W1005" s="5"/>
      <c r="X1005" s="5"/>
      <c r="Y1005" s="5"/>
    </row>
    <row r="1006" spans="1:25" ht="15" customHeight="1" x14ac:dyDescent="0.5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S1006" s="5"/>
      <c r="T1006" s="5"/>
      <c r="U1006" s="5"/>
      <c r="V1006" s="5"/>
      <c r="W1006" s="5"/>
      <c r="X1006" s="5"/>
      <c r="Y1006" s="5"/>
    </row>
    <row r="1007" spans="1:25" ht="15" customHeight="1" x14ac:dyDescent="0.5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S1007" s="5"/>
      <c r="T1007" s="5"/>
      <c r="U1007" s="5"/>
      <c r="V1007" s="5"/>
      <c r="W1007" s="5"/>
      <c r="X1007" s="5"/>
      <c r="Y1007" s="5"/>
    </row>
    <row r="1008" spans="1:25" ht="15" customHeight="1" x14ac:dyDescent="0.5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S1008" s="5"/>
      <c r="T1008" s="5"/>
      <c r="U1008" s="5"/>
      <c r="V1008" s="5"/>
      <c r="W1008" s="5"/>
      <c r="X1008" s="5"/>
      <c r="Y1008" s="5"/>
    </row>
    <row r="1009" spans="1:25" ht="15" customHeight="1" x14ac:dyDescent="0.5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S1009" s="5"/>
      <c r="T1009" s="5"/>
      <c r="U1009" s="5"/>
      <c r="V1009" s="5"/>
      <c r="W1009" s="5"/>
      <c r="X1009" s="5"/>
      <c r="Y1009" s="5"/>
    </row>
    <row r="1010" spans="1:25" ht="15" customHeight="1" x14ac:dyDescent="0.5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S1010" s="5"/>
      <c r="T1010" s="5"/>
      <c r="U1010" s="5"/>
      <c r="V1010" s="5"/>
      <c r="W1010" s="5"/>
      <c r="X1010" s="5"/>
      <c r="Y1010" s="5"/>
    </row>
    <row r="1011" spans="1:25" ht="15" customHeight="1" x14ac:dyDescent="0.5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S1011" s="5"/>
      <c r="T1011" s="5"/>
      <c r="U1011" s="5"/>
      <c r="V1011" s="5"/>
      <c r="W1011" s="5"/>
      <c r="X1011" s="5"/>
      <c r="Y1011" s="5"/>
    </row>
    <row r="1012" spans="1:25" ht="15" customHeight="1" x14ac:dyDescent="0.5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S1012" s="5"/>
      <c r="T1012" s="5"/>
      <c r="U1012" s="5"/>
      <c r="V1012" s="5"/>
      <c r="W1012" s="5"/>
      <c r="X1012" s="5"/>
      <c r="Y1012" s="5"/>
    </row>
    <row r="1013" spans="1:25" ht="15" customHeight="1" x14ac:dyDescent="0.5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S1013" s="5"/>
      <c r="T1013" s="5"/>
      <c r="U1013" s="5"/>
      <c r="V1013" s="5"/>
      <c r="W1013" s="5"/>
      <c r="X1013" s="5"/>
      <c r="Y1013" s="5"/>
    </row>
    <row r="1014" spans="1:25" ht="15" customHeight="1" x14ac:dyDescent="0.5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S1014" s="5"/>
      <c r="T1014" s="5"/>
      <c r="U1014" s="5"/>
      <c r="V1014" s="5"/>
      <c r="W1014" s="5"/>
      <c r="X1014" s="5"/>
      <c r="Y1014" s="5"/>
    </row>
    <row r="1015" spans="1:25" ht="15" customHeight="1" x14ac:dyDescent="0.5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S1015" s="5"/>
      <c r="T1015" s="5"/>
      <c r="U1015" s="5"/>
      <c r="V1015" s="5"/>
      <c r="W1015" s="5"/>
      <c r="X1015" s="5"/>
      <c r="Y1015" s="5"/>
    </row>
    <row r="1016" spans="1:25" ht="15" customHeight="1" x14ac:dyDescent="0.5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S1016" s="5"/>
      <c r="T1016" s="5"/>
      <c r="U1016" s="5"/>
      <c r="V1016" s="5"/>
      <c r="W1016" s="5"/>
      <c r="X1016" s="5"/>
      <c r="Y1016" s="5"/>
    </row>
    <row r="1017" spans="1:25" ht="15" customHeight="1" x14ac:dyDescent="0.5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S1017" s="5"/>
      <c r="T1017" s="5"/>
      <c r="U1017" s="5"/>
      <c r="V1017" s="5"/>
      <c r="W1017" s="5"/>
      <c r="X1017" s="5"/>
      <c r="Y1017" s="5"/>
    </row>
    <row r="1018" spans="1:25" ht="15" customHeight="1" x14ac:dyDescent="0.5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S1018" s="5"/>
      <c r="T1018" s="5"/>
      <c r="U1018" s="5"/>
      <c r="V1018" s="5"/>
      <c r="W1018" s="5"/>
      <c r="X1018" s="5"/>
      <c r="Y1018" s="5"/>
    </row>
    <row r="1019" spans="1:25" ht="15" customHeight="1" x14ac:dyDescent="0.5">
      <c r="B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Q1019" s="5"/>
    </row>
    <row r="1020" spans="1:25" ht="15" customHeight="1" x14ac:dyDescent="0.5">
      <c r="B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Q1020" s="5"/>
    </row>
    <row r="1021" spans="1:25" ht="15" customHeight="1" x14ac:dyDescent="0.5">
      <c r="B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Q1021" s="5"/>
    </row>
    <row r="1022" spans="1:25" ht="15" customHeight="1" x14ac:dyDescent="0.5">
      <c r="B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Q1022" s="5"/>
    </row>
    <row r="1023" spans="1:25" ht="15" customHeight="1" x14ac:dyDescent="0.5">
      <c r="B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Q1023" s="5"/>
    </row>
    <row r="1024" spans="1:25" ht="15" customHeight="1" x14ac:dyDescent="0.5">
      <c r="B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Q1024" s="5"/>
    </row>
    <row r="1025" spans="2:17" ht="15" customHeight="1" x14ac:dyDescent="0.5">
      <c r="B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Q1025" s="5"/>
    </row>
    <row r="1026" spans="2:17" ht="15" customHeight="1" x14ac:dyDescent="0.5">
      <c r="B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Q1026" s="5"/>
    </row>
    <row r="1027" spans="2:17" ht="15" customHeight="1" x14ac:dyDescent="0.5">
      <c r="B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Q1027" s="5"/>
    </row>
    <row r="1028" spans="2:17" ht="15" customHeight="1" x14ac:dyDescent="0.5">
      <c r="B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Q1028" s="5"/>
    </row>
    <row r="1029" spans="2:17" ht="15" customHeight="1" x14ac:dyDescent="0.5">
      <c r="B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Q1029" s="5"/>
    </row>
    <row r="1030" spans="2:17" ht="15" customHeight="1" x14ac:dyDescent="0.5">
      <c r="B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Q1030" s="5"/>
    </row>
    <row r="1031" spans="2:17" ht="15" customHeight="1" x14ac:dyDescent="0.5">
      <c r="B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Q1031" s="5"/>
    </row>
    <row r="1032" spans="2:17" ht="15" customHeight="1" x14ac:dyDescent="0.5">
      <c r="B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Q1032" s="5"/>
    </row>
    <row r="1033" spans="2:17" ht="15" customHeight="1" x14ac:dyDescent="0.5">
      <c r="B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Q1033" s="5"/>
    </row>
    <row r="1034" spans="2:17" ht="15" customHeight="1" x14ac:dyDescent="0.5">
      <c r="B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Q1034" s="5"/>
    </row>
    <row r="1035" spans="2:17" ht="15" customHeight="1" x14ac:dyDescent="0.5">
      <c r="B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Q1035" s="5"/>
    </row>
    <row r="1036" spans="2:17" ht="15" customHeight="1" x14ac:dyDescent="0.5">
      <c r="B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Q1036" s="5"/>
    </row>
    <row r="1037" spans="2:17" ht="15" customHeight="1" x14ac:dyDescent="0.5">
      <c r="B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Q1037" s="5"/>
    </row>
    <row r="1038" spans="2:17" ht="15" customHeight="1" x14ac:dyDescent="0.5">
      <c r="B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Q1038" s="5"/>
    </row>
    <row r="1039" spans="2:17" ht="15" customHeight="1" x14ac:dyDescent="0.5">
      <c r="B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Q1039" s="5"/>
    </row>
    <row r="1040" spans="2:17" ht="15" customHeight="1" x14ac:dyDescent="0.5">
      <c r="B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Q1040" s="5"/>
    </row>
  </sheetData>
  <mergeCells count="4">
    <mergeCell ref="B2:C2"/>
    <mergeCell ref="B3:C3"/>
    <mergeCell ref="B5:C5"/>
    <mergeCell ref="B6:C6"/>
  </mergeCells>
  <conditionalFormatting sqref="D9:O11">
    <cfRule type="cellIs" dxfId="7" priority="5" operator="lessThan">
      <formula>0</formula>
    </cfRule>
  </conditionalFormatting>
  <conditionalFormatting sqref="D15:O23">
    <cfRule type="cellIs" dxfId="6" priority="7" operator="lessThan">
      <formula>0</formula>
    </cfRule>
  </conditionalFormatting>
  <conditionalFormatting sqref="D26:O29 C33">
    <cfRule type="cellIs" dxfId="5" priority="8" operator="lessThan">
      <formula>0</formula>
    </cfRule>
  </conditionalFormatting>
  <conditionalFormatting sqref="D31:O99">
    <cfRule type="cellIs" dxfId="4" priority="6" operator="lessThan">
      <formula>0</formula>
    </cfRule>
  </conditionalFormatting>
  <conditionalFormatting sqref="Q9:Q11">
    <cfRule type="cellIs" dxfId="3" priority="1" operator="lessThan">
      <formula>0</formula>
    </cfRule>
  </conditionalFormatting>
  <conditionalFormatting sqref="Q15:Q23 Q26:Q29 Q31:Q33 Q47:Q53 Q85:Q91 Q93:Q99">
    <cfRule type="cellIs" dxfId="2" priority="4" operator="lessThan">
      <formula>0</formula>
    </cfRule>
  </conditionalFormatting>
  <conditionalFormatting sqref="Q35:Q45">
    <cfRule type="cellIs" dxfId="1" priority="3" operator="lessThan">
      <formula>0</formula>
    </cfRule>
  </conditionalFormatting>
  <conditionalFormatting sqref="Q55:Q62 Q64:Q83">
    <cfRule type="cellIs" dxfId="0" priority="2" operator="less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C16F03E-7090-4779-A34D-AF19870F6787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Loss'!D93:O93</xm:f>
              <xm:sqref>C93</xm:sqref>
            </x14:sparkline>
            <x14:sparkline>
              <xm:f>'iMarc 2024 Profit and Loss'!D94:O94</xm:f>
              <xm:sqref>C94</xm:sqref>
            </x14:sparkline>
            <x14:sparkline>
              <xm:f>'iMarc 2024 Profit and Loss'!D95:O95</xm:f>
              <xm:sqref>C95</xm:sqref>
            </x14:sparkline>
            <x14:sparkline>
              <xm:f>'iMarc 2024 Profit and Loss'!D96:O96</xm:f>
              <xm:sqref>C96</xm:sqref>
            </x14:sparkline>
          </x14:sparklines>
        </x14:sparklineGroup>
        <x14:sparklineGroup displayEmptyCellsAs="gap" markers="1" xr2:uid="{1431CE5B-EC28-4212-90D0-3E0DC87E7DE0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Loss'!D85:O85</xm:f>
              <xm:sqref>C85</xm:sqref>
            </x14:sparkline>
            <x14:sparkline>
              <xm:f>'iMarc 2024 Profit and Loss'!D86:O86</xm:f>
              <xm:sqref>C86</xm:sqref>
            </x14:sparkline>
            <x14:sparkline>
              <xm:f>'iMarc 2024 Profit and Loss'!D87:O87</xm:f>
              <xm:sqref>C87</xm:sqref>
            </x14:sparkline>
            <x14:sparkline>
              <xm:f>'iMarc 2024 Profit and Loss'!D88:O88</xm:f>
              <xm:sqref>C88</xm:sqref>
            </x14:sparkline>
            <x14:sparkline>
              <xm:f>'iMarc 2024 Profit and Loss'!D89:O89</xm:f>
              <xm:sqref>C89</xm:sqref>
            </x14:sparkline>
          </x14:sparklines>
        </x14:sparklineGroup>
        <x14:sparklineGroup displayEmptyCellsAs="gap" markers="1" xr2:uid="{956A0D7A-7E63-402A-A793-B4B004D52CFE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Loss'!D64:O64</xm:f>
              <xm:sqref>C64</xm:sqref>
            </x14:sparkline>
            <x14:sparkline>
              <xm:f>'iMarc 2024 Profit and Loss'!D65:O65</xm:f>
              <xm:sqref>C65</xm:sqref>
            </x14:sparkline>
            <x14:sparkline>
              <xm:f>'iMarc 2024 Profit and Loss'!D66:O66</xm:f>
              <xm:sqref>C66</xm:sqref>
            </x14:sparkline>
            <x14:sparkline>
              <xm:f>'iMarc 2024 Profit and Loss'!D67:O67</xm:f>
              <xm:sqref>C67</xm:sqref>
            </x14:sparkline>
            <x14:sparkline>
              <xm:f>'iMarc 2024 Profit and Loss'!D68:O68</xm:f>
              <xm:sqref>C68</xm:sqref>
            </x14:sparkline>
            <x14:sparkline>
              <xm:f>'iMarc 2024 Profit and Loss'!D69:O69</xm:f>
              <xm:sqref>C69</xm:sqref>
            </x14:sparkline>
            <x14:sparkline>
              <xm:f>'iMarc 2024 Profit and Loss'!D70:O70</xm:f>
              <xm:sqref>C70</xm:sqref>
            </x14:sparkline>
            <x14:sparkline>
              <xm:f>'iMarc 2024 Profit and Loss'!D71:O71</xm:f>
              <xm:sqref>C71</xm:sqref>
            </x14:sparkline>
            <x14:sparkline>
              <xm:f>'iMarc 2024 Profit and Loss'!D72:O72</xm:f>
              <xm:sqref>C72</xm:sqref>
            </x14:sparkline>
            <x14:sparkline>
              <xm:f>'iMarc 2024 Profit and Loss'!D73:O73</xm:f>
              <xm:sqref>C73</xm:sqref>
            </x14:sparkline>
            <x14:sparkline>
              <xm:f>'iMarc 2024 Profit and Loss'!D74:O74</xm:f>
              <xm:sqref>C74</xm:sqref>
            </x14:sparkline>
            <x14:sparkline>
              <xm:f>'iMarc 2024 Profit and Loss'!D75:O75</xm:f>
              <xm:sqref>C75</xm:sqref>
            </x14:sparkline>
            <x14:sparkline>
              <xm:f>'iMarc 2024 Profit and Loss'!D76:O76</xm:f>
              <xm:sqref>C76</xm:sqref>
            </x14:sparkline>
            <x14:sparkline>
              <xm:f>'iMarc 2024 Profit and Loss'!D77:O77</xm:f>
              <xm:sqref>C77</xm:sqref>
            </x14:sparkline>
            <x14:sparkline>
              <xm:f>'iMarc 2024 Profit and Loss'!D78:O78</xm:f>
              <xm:sqref>C78</xm:sqref>
            </x14:sparkline>
            <x14:sparkline>
              <xm:f>'iMarc 2024 Profit and Loss'!D79:O79</xm:f>
              <xm:sqref>C79</xm:sqref>
            </x14:sparkline>
            <x14:sparkline>
              <xm:f>'iMarc 2024 Profit and Loss'!D80:O80</xm:f>
              <xm:sqref>C80</xm:sqref>
            </x14:sparkline>
            <x14:sparkline>
              <xm:f>'iMarc 2024 Profit and Loss'!D81:O81</xm:f>
              <xm:sqref>C81</xm:sqref>
            </x14:sparkline>
          </x14:sparklines>
        </x14:sparklineGroup>
        <x14:sparklineGroup displayEmptyCellsAs="gap" markers="1" xr2:uid="{FD06D61E-6F51-424F-B9D1-2DD84DC06087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Loss'!D55:O55</xm:f>
              <xm:sqref>C55</xm:sqref>
            </x14:sparkline>
            <x14:sparkline>
              <xm:f>'iMarc 2024 Profit and Loss'!D56:O56</xm:f>
              <xm:sqref>C56</xm:sqref>
            </x14:sparkline>
            <x14:sparkline>
              <xm:f>'iMarc 2024 Profit and Loss'!D57:O57</xm:f>
              <xm:sqref>C57</xm:sqref>
            </x14:sparkline>
            <x14:sparkline>
              <xm:f>'iMarc 2024 Profit and Loss'!D58:O58</xm:f>
              <xm:sqref>C58</xm:sqref>
            </x14:sparkline>
            <x14:sparkline>
              <xm:f>'iMarc 2024 Profit and Loss'!D59:O59</xm:f>
              <xm:sqref>C59</xm:sqref>
            </x14:sparkline>
            <x14:sparkline>
              <xm:f>'iMarc 2024 Profit and Loss'!D60:O60</xm:f>
              <xm:sqref>C60</xm:sqref>
            </x14:sparkline>
          </x14:sparklines>
        </x14:sparklineGroup>
        <x14:sparklineGroup displayEmptyCellsAs="gap" markers="1" xr2:uid="{2530B513-DF2C-45A7-B3D6-8F34DBE6FB9A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Loss'!D47:O47</xm:f>
              <xm:sqref>C47</xm:sqref>
            </x14:sparkline>
            <x14:sparkline>
              <xm:f>'iMarc 2024 Profit and Loss'!D48:O48</xm:f>
              <xm:sqref>C48</xm:sqref>
            </x14:sparkline>
            <x14:sparkline>
              <xm:f>'iMarc 2024 Profit and Loss'!D49:O49</xm:f>
              <xm:sqref>C49</xm:sqref>
            </x14:sparkline>
            <x14:sparkline>
              <xm:f>'iMarc 2024 Profit and Loss'!D50:O50</xm:f>
              <xm:sqref>C50</xm:sqref>
            </x14:sparkline>
            <x14:sparkline>
              <xm:f>'iMarc 2024 Profit and Loss'!D51:O51</xm:f>
              <xm:sqref>C51</xm:sqref>
            </x14:sparkline>
          </x14:sparklines>
        </x14:sparklineGroup>
        <x14:sparklineGroup displayEmptyCellsAs="gap" markers="1" xr2:uid="{9229FE21-A130-409E-9023-A7E1B4399757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Loss'!D99:O99</xm:f>
              <xm:sqref>C99</xm:sqref>
            </x14:sparkline>
          </x14:sparklines>
        </x14:sparklineGroup>
        <x14:sparklineGroup displayEmptyCellsAs="gap" markers="1" xr2:uid="{1241FBE8-5962-4CF3-9C91-651FD7E5B9B9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Loss'!D97:O97</xm:f>
              <xm:sqref>C97</xm:sqref>
            </x14:sparkline>
          </x14:sparklines>
        </x14:sparklineGroup>
        <x14:sparklineGroup displayEmptyCellsAs="gap" markers="1" xr2:uid="{B5D7BA08-1941-490E-B2FD-3AB5D261467C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Loss'!D90:O90</xm:f>
              <xm:sqref>C90</xm:sqref>
            </x14:sparkline>
          </x14:sparklines>
        </x14:sparklineGroup>
        <x14:sparklineGroup displayEmptyCellsAs="gap" markers="1" xr2:uid="{E7EF7B21-6155-40A7-9DDC-2846A4B92690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Loss'!D82:O82</xm:f>
              <xm:sqref>C82</xm:sqref>
            </x14:sparkline>
          </x14:sparklines>
        </x14:sparklineGroup>
        <x14:sparklineGroup displayEmptyCellsAs="gap" markers="1" xr2:uid="{71A4E69A-D55D-4098-B569-EE33D1582760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Loss'!D61:O61</xm:f>
              <xm:sqref>C61</xm:sqref>
            </x14:sparkline>
          </x14:sparklines>
        </x14:sparklineGroup>
        <x14:sparklineGroup displayEmptyCellsAs="gap" markers="1" xr2:uid="{4D67D2E4-031B-4ED2-9084-942E14D1B46D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Loss'!D52:O52</xm:f>
              <xm:sqref>C52</xm:sqref>
            </x14:sparkline>
          </x14:sparklines>
        </x14:sparklineGroup>
        <x14:sparklineGroup displayEmptyCellsAs="gap" markers="1" xr2:uid="{EF5ABC05-AE50-470A-A592-3F2EC4104228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Loss'!D44:O44</xm:f>
              <xm:sqref>C44</xm:sqref>
            </x14:sparkline>
          </x14:sparklines>
        </x14:sparklineGroup>
        <x14:sparklineGroup displayEmptyCellsAs="gap" markers="1" xr2:uid="{EAE9525A-4DF6-4CEF-9B7F-05236584138A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Loss'!D35:O35</xm:f>
              <xm:sqref>C35</xm:sqref>
            </x14:sparkline>
            <x14:sparkline>
              <xm:f>'iMarc 2024 Profit and Loss'!D36:O36</xm:f>
              <xm:sqref>C36</xm:sqref>
            </x14:sparkline>
            <x14:sparkline>
              <xm:f>'iMarc 2024 Profit and Loss'!D37:O37</xm:f>
              <xm:sqref>C37</xm:sqref>
            </x14:sparkline>
            <x14:sparkline>
              <xm:f>'iMarc 2024 Profit and Loss'!D38:O38</xm:f>
              <xm:sqref>C38</xm:sqref>
            </x14:sparkline>
            <x14:sparkline>
              <xm:f>'iMarc 2024 Profit and Loss'!D39:O39</xm:f>
              <xm:sqref>C39</xm:sqref>
            </x14:sparkline>
            <x14:sparkline>
              <xm:f>'iMarc 2024 Profit and Loss'!D40:O40</xm:f>
              <xm:sqref>C40</xm:sqref>
            </x14:sparkline>
            <x14:sparkline>
              <xm:f>'iMarc 2024 Profit and Loss'!D41:O41</xm:f>
              <xm:sqref>C41</xm:sqref>
            </x14:sparkline>
            <x14:sparkline>
              <xm:f>'iMarc 2024 Profit and Loss'!D42:O42</xm:f>
              <xm:sqref>C42</xm:sqref>
            </x14:sparkline>
            <x14:sparkline>
              <xm:f>'iMarc 2024 Profit and Loss'!D43:O43</xm:f>
              <xm:sqref>C43</xm:sqref>
            </x14:sparkline>
          </x14:sparklines>
        </x14:sparklineGroup>
        <x14:sparklineGroup displayEmptyCellsAs="gap" markers="1" xr2:uid="{D09A0E27-675F-4175-AEDB-7176690E66DF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Loss'!D31:O31</xm:f>
              <xm:sqref>C31</xm:sqref>
            </x14:sparkline>
          </x14:sparklines>
        </x14:sparklineGroup>
        <x14:sparklineGroup displayEmptyCellsAs="gap" markers="1" xr2:uid="{78B1589A-E54F-42AC-993A-9B3A86A50A5C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Loss'!D26:O26</xm:f>
              <xm:sqref>C26</xm:sqref>
            </x14:sparkline>
            <x14:sparkline>
              <xm:f>'iMarc 2024 Profit and Loss'!D27:O27</xm:f>
              <xm:sqref>C27</xm:sqref>
            </x14:sparkline>
            <x14:sparkline>
              <xm:f>'iMarc 2024 Profit and Loss'!D28:O28</xm:f>
              <xm:sqref>C28</xm:sqref>
            </x14:sparkline>
            <x14:sparkline>
              <xm:f>'iMarc 2024 Profit and Loss'!D29:O29</xm:f>
              <xm:sqref>C29</xm:sqref>
            </x14:sparkline>
          </x14:sparklines>
        </x14:sparklineGroup>
        <x14:sparklineGroup displayEmptyCellsAs="gap" markers="1" xr2:uid="{221E03FE-4AAF-4C3D-9ECF-92CEADB5146B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Loss'!D15:O15</xm:f>
              <xm:sqref>C15</xm:sqref>
            </x14:sparkline>
            <x14:sparkline>
              <xm:f>'iMarc 2024 Profit and Loss'!D16:O16</xm:f>
              <xm:sqref>C16</xm:sqref>
            </x14:sparkline>
            <x14:sparkline>
              <xm:f>'iMarc 2024 Profit and Loss'!D17:O17</xm:f>
              <xm:sqref>C17</xm:sqref>
            </x14:sparkline>
            <x14:sparkline>
              <xm:f>'iMarc 2024 Profit and Loss'!D18:O18</xm:f>
              <xm:sqref>C18</xm:sqref>
            </x14:sparkline>
            <x14:sparkline>
              <xm:f>'iMarc 2024 Profit and Loss'!D19:O19</xm:f>
              <xm:sqref>C19</xm:sqref>
            </x14:sparkline>
            <x14:sparkline>
              <xm:f>'iMarc 2024 Profit and Loss'!D20:O20</xm:f>
              <xm:sqref>C20</xm:sqref>
            </x14:sparkline>
            <x14:sparkline>
              <xm:f>'iMarc 2024 Profit and Loss'!D21:O21</xm:f>
              <xm:sqref>C21</xm:sqref>
            </x14:sparkline>
            <x14:sparkline>
              <xm:f>'iMarc 2024 Profit and Loss'!D22:O22</xm:f>
              <xm:sqref>C22</xm:sqref>
            </x14:sparkline>
            <x14:sparkline>
              <xm:f>'iMarc 2024 Profit and Loss'!D23:O23</xm:f>
              <xm:sqref>C23</xm:sqref>
            </x14:sparkline>
          </x14:sparklines>
        </x14:sparklineGroup>
        <x14:sparklineGroup displayEmptyCellsAs="gap" markers="1" xr2:uid="{9F1BB9DE-9EEF-4377-8883-B7F316B1C2AA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'iMarc 2024 Profit and Loss'!D9:O9</xm:f>
              <xm:sqref>C9</xm:sqref>
            </x14:sparkline>
            <x14:sparkline>
              <xm:f>'iMarc 2024 Profit and Loss'!D10:O10</xm:f>
              <xm:sqref>C10</xm:sqref>
            </x14:sparkline>
            <x14:sparkline>
              <xm:f>'iMarc 2024 Profit and Loss'!D11:O11</xm:f>
              <xm:sqref>C11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iMarc 2024 Profit and Loss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</dc:creator>
  <cp:lastModifiedBy>Emmanuel Ugor</cp:lastModifiedBy>
  <dcterms:created xsi:type="dcterms:W3CDTF">2024-07-03T21:03:16Z</dcterms:created>
  <dcterms:modified xsi:type="dcterms:W3CDTF">2025-04-17T19:00:25Z</dcterms:modified>
</cp:coreProperties>
</file>